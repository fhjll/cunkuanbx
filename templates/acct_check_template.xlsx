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保费基数核对表" sheetId="7" r:id="rId1"/>
  </sheets>
  <calcPr calcId="144525"/>
</workbook>
</file>

<file path=xl/sharedStrings.xml><?xml version="1.0" encoding="utf-8"?>
<sst xmlns="http://schemas.openxmlformats.org/spreadsheetml/2006/main" count="96" uniqueCount="76">
  <si>
    <t>会计科目核对</t>
  </si>
  <si>
    <t>填报单位：</t>
  </si>
  <si>
    <t>单位：元人民币</t>
  </si>
  <si>
    <t>本金</t>
  </si>
  <si>
    <t>利息</t>
  </si>
  <si>
    <t>合计</t>
  </si>
  <si>
    <t>代码</t>
  </si>
  <si>
    <t>科目名称</t>
  </si>
  <si>
    <t>金额</t>
  </si>
  <si>
    <t>一、境内存款</t>
  </si>
  <si>
    <t>一、境内存款利息</t>
  </si>
  <si>
    <t>（一）个人存款</t>
  </si>
  <si>
    <t>（一）个人存款应付利息</t>
  </si>
  <si>
    <t>（二）单位存款</t>
  </si>
  <si>
    <t>（二）单位存款应付利息</t>
  </si>
  <si>
    <t>其中：住房公积金存款</t>
  </si>
  <si>
    <t>《附件2：住房公积金明细表》当前余额合计数</t>
  </si>
  <si>
    <t>其中：住房公积金存款应付利息</t>
  </si>
  <si>
    <t>《附件2：住房公积金明细表》应付利息合计数</t>
  </si>
  <si>
    <t>社保基金存款</t>
  </si>
  <si>
    <t>《附件3：社保基金存款明细表》当前余额合计数</t>
  </si>
  <si>
    <t>社保基金存款应付利息</t>
  </si>
  <si>
    <t>《附件3：社保基金存款明细表》应付利息合计数</t>
  </si>
  <si>
    <t>（三）财政性存款</t>
  </si>
  <si>
    <t>（三）财政性存款应付利息</t>
  </si>
  <si>
    <t>（四）非存款类金融机构存款</t>
  </si>
  <si>
    <t>（四）非存款类金融机构存款应付利息</t>
  </si>
  <si>
    <t>二、境外存款</t>
  </si>
  <si>
    <t>二、境外存款利息</t>
  </si>
  <si>
    <t>（三）境外同业存放</t>
  </si>
  <si>
    <t>（三）境外同业存放应付利息</t>
  </si>
  <si>
    <t>三、高级管理人员在本机构存款</t>
  </si>
  <si>
    <t>《附件4：高管人员存款统计表》当前余额合计数</t>
  </si>
  <si>
    <t>三、高级管理人员在本机构存款利息</t>
  </si>
  <si>
    <t>《附件4：高管人员存款统计表》应付利息合计数</t>
  </si>
  <si>
    <t>四、不予保险的其他存款</t>
  </si>
  <si>
    <t>四、不予保险的其他存款利息</t>
  </si>
  <si>
    <t>个人活期存款</t>
  </si>
  <si>
    <t>应付利息-个人活期存款应付利息</t>
  </si>
  <si>
    <t>个人定期存款</t>
  </si>
  <si>
    <t>应付利息-个人定期存款应付利息</t>
  </si>
  <si>
    <t>银行卡存款-个人银行卡活期存款</t>
  </si>
  <si>
    <t>应付利息-银行卡存款应付利息-个人银行卡活期存款应付利息</t>
  </si>
  <si>
    <t>银行卡存款-个人银行卡定期存款</t>
  </si>
  <si>
    <t>应付利息-银行卡存款应付利息-个人银行卡定期存款应付利息</t>
  </si>
  <si>
    <t>保证金存款(个人部分）</t>
  </si>
  <si>
    <t>其他应付款-久悬不动户-久悬未取款项</t>
  </si>
  <si>
    <t>个体工商户调整项（本金）（＋）</t>
  </si>
  <si>
    <t>个体工商户调整项（应付利息）（＋）</t>
  </si>
  <si>
    <t>单位活期存款</t>
  </si>
  <si>
    <t>应付利息-单位活期存款应付利息</t>
  </si>
  <si>
    <t>单位定期存款</t>
  </si>
  <si>
    <t>应付利息-单位定期存款应付利息</t>
  </si>
  <si>
    <t>银行卡存款-单位银行卡活期存款</t>
  </si>
  <si>
    <t>应付利息-银行卡存款应付利息-单位银行卡活期存款应付利息</t>
  </si>
  <si>
    <t>银行卡存款-单位银行卡定期存款</t>
  </si>
  <si>
    <t>应付利息-银行卡存款应付利息-单位银行卡定期存款应付利息</t>
  </si>
  <si>
    <t>财政性存款-财政性存款</t>
  </si>
  <si>
    <t>应付利息-财政性存款应付利息-财政性存款应付利息</t>
  </si>
  <si>
    <t>应解汇款</t>
  </si>
  <si>
    <t>保证金存款（单位部分）</t>
  </si>
  <si>
    <t>保证金存款应付利息(单位部分)</t>
  </si>
  <si>
    <t>其他应付款-久悬不动户-对公存款不动户</t>
  </si>
  <si>
    <t>营业外收入-久悬未取款项收入</t>
  </si>
  <si>
    <t>个体工商户调整项（本金）（－）</t>
  </si>
  <si>
    <t>个体工商户调整项（应付利息）（－）</t>
  </si>
  <si>
    <t>财政性存款-国库定期存款</t>
  </si>
  <si>
    <t>国库定期存款应付利息</t>
  </si>
  <si>
    <t>待结算财政款项</t>
  </si>
  <si>
    <t>应付利息-待结算财政款项应付利息</t>
  </si>
  <si>
    <t>同业存放款项-保险公司存放</t>
  </si>
  <si>
    <t>应付利息-同业存放款项应付利息-保险公司存放应付利息</t>
  </si>
  <si>
    <t>同业存放款项-非银行金融机构存放</t>
  </si>
  <si>
    <t>境外同业存放</t>
  </si>
  <si>
    <t>同业存放款项-境外同业存放</t>
  </si>
  <si>
    <t>应付利息-同业存放款项应付利息-境外同业存放应付利息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</si>
</sst>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_ "/>
    <numFmt numFmtId="177" formatCode="0.00_);[Red]\(0.00\)"/>
  </numFmts>
  <fonts count="30">
    <font>
      <sz val="12"/>
      <name val="宋体"/>
      <charset val="134"/>
    </font>
    <font>
      <b/>
      <sz val="12"/>
      <name val="宋体"/>
      <charset val="134"/>
    </font>
    <font>
      <b/>
      <sz val="24"/>
      <name val="仿宋_GB2312"/>
      <charset val="134"/>
    </font>
    <font>
      <b/>
      <sz val="12"/>
      <name val="仿宋_GB2312"/>
      <charset val="134"/>
    </font>
    <font>
      <b/>
      <sz val="16"/>
      <name val="仿宋_GB2312"/>
      <charset val="134"/>
    </font>
    <font>
      <b/>
      <sz val="10"/>
      <name val="宋体"/>
      <charset val="134"/>
    </font>
    <font>
      <sz val="12"/>
      <name val="仿宋_GB2312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b/>
      <sz val="15"/>
      <color indexed="62"/>
      <name val="宋体"/>
      <charset val="134"/>
    </font>
    <font>
      <b/>
      <sz val="18"/>
      <color indexed="62"/>
      <name val="宋体"/>
      <charset val="134"/>
    </font>
    <font>
      <b/>
      <sz val="13"/>
      <color indexed="6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62"/>
      <name val="宋体"/>
      <charset val="134"/>
    </font>
    <font>
      <sz val="11"/>
      <color indexed="16"/>
      <name val="宋体"/>
      <charset val="134"/>
    </font>
    <font>
      <sz val="11"/>
      <color indexed="62"/>
      <name val="宋体"/>
      <charset val="134"/>
    </font>
    <font>
      <sz val="11"/>
      <color indexed="10"/>
      <name val="宋体"/>
      <charset val="134"/>
    </font>
    <font>
      <sz val="12"/>
      <color indexed="20"/>
      <name val="宋体"/>
      <charset val="134"/>
    </font>
    <font>
      <u/>
      <sz val="11"/>
      <color indexed="12"/>
      <name val="宋体"/>
      <charset val="134"/>
    </font>
    <font>
      <i/>
      <sz val="11"/>
      <color indexed="23"/>
      <name val="宋体"/>
      <charset val="134"/>
    </font>
    <font>
      <u/>
      <sz val="11"/>
      <color indexed="20"/>
      <name val="宋体"/>
      <charset val="134"/>
    </font>
    <font>
      <sz val="11"/>
      <color indexed="19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2"/>
      <color indexed="8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63">
    <xf numFmtId="0" fontId="0" fillId="0" borderId="0"/>
    <xf numFmtId="42" fontId="0" fillId="0" borderId="0" applyFont="0" applyFill="0" applyBorder="0" applyAlignment="0" applyProtection="0"/>
    <xf numFmtId="0" fontId="0" fillId="8" borderId="0" applyNumberFormat="0" applyFont="0" applyBorder="0" applyAlignment="0" applyProtection="0"/>
    <xf numFmtId="0" fontId="12" fillId="6" borderId="0" applyNumberFormat="0" applyBorder="0" applyAlignment="0" applyProtection="0">
      <alignment vertical="center"/>
    </xf>
    <xf numFmtId="0" fontId="16" fillId="15" borderId="25" applyNumberFormat="0" applyAlignment="0" applyProtection="0">
      <alignment vertical="center"/>
    </xf>
    <xf numFmtId="44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3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3" fillId="5" borderId="27" applyNumberFormat="0" applyAlignment="0" applyProtection="0">
      <alignment vertical="center"/>
    </xf>
    <xf numFmtId="0" fontId="24" fillId="5" borderId="25" applyNumberFormat="0" applyAlignment="0" applyProtection="0">
      <alignment vertical="center"/>
    </xf>
    <xf numFmtId="0" fontId="25" fillId="19" borderId="28" applyNumberFormat="0" applyAlignment="0" applyProtection="0">
      <alignment vertical="center"/>
    </xf>
    <xf numFmtId="0" fontId="0" fillId="8" borderId="0" applyNumberFormat="0" applyFont="0" applyBorder="0" applyAlignment="0" applyProtection="0"/>
    <xf numFmtId="0" fontId="12" fillId="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0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8" borderId="0" applyNumberFormat="0" applyFont="0" applyBorder="0" applyAlignment="0" applyProtection="0"/>
    <xf numFmtId="0" fontId="12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/>
    <xf numFmtId="0" fontId="12" fillId="1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14" borderId="0" applyNumberFormat="0" applyFont="0" applyBorder="0" applyAlignment="0" applyProtection="0"/>
    <xf numFmtId="0" fontId="12" fillId="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Fon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0" fillId="8" borderId="0" applyNumberFormat="0" applyFont="0" applyBorder="0" applyAlignment="0" applyProtection="0"/>
    <xf numFmtId="0" fontId="12" fillId="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0" borderId="0">
      <alignment vertical="center"/>
    </xf>
    <xf numFmtId="0" fontId="18" fillId="14" borderId="0" applyNumberFormat="0" applyBorder="0" applyAlignment="0" applyProtection="0"/>
    <xf numFmtId="0" fontId="0" fillId="0" borderId="0"/>
    <xf numFmtId="43" fontId="0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Alignment="1">
      <alignment horizontal="left" vertical="center"/>
    </xf>
    <xf numFmtId="177" fontId="0" fillId="0" borderId="0" xfId="0" applyNumberFormat="1"/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77" fontId="3" fillId="0" borderId="6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176" fontId="5" fillId="2" borderId="5" xfId="0" applyNumberFormat="1" applyFont="1" applyFill="1" applyBorder="1" applyAlignment="1">
      <alignment horizontal="center" vertical="center"/>
    </xf>
    <xf numFmtId="177" fontId="5" fillId="2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176" fontId="5" fillId="2" borderId="5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 wrapText="1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177" fontId="7" fillId="0" borderId="6" xfId="0" applyNumberFormat="1" applyFont="1" applyBorder="1" applyAlignment="1">
      <alignment horizontal="left" vertical="center"/>
    </xf>
    <xf numFmtId="177" fontId="7" fillId="0" borderId="12" xfId="0" applyNumberFormat="1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4" fontId="8" fillId="5" borderId="17" xfId="0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177" fontId="7" fillId="0" borderId="6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0" fillId="0" borderId="4" xfId="0" applyBorder="1"/>
    <xf numFmtId="0" fontId="0" fillId="0" borderId="8" xfId="0" applyBorder="1"/>
    <xf numFmtId="0" fontId="7" fillId="0" borderId="5" xfId="0" applyFont="1" applyBorder="1" applyAlignment="1">
      <alignment horizontal="center" vertical="center"/>
    </xf>
    <xf numFmtId="0" fontId="0" fillId="0" borderId="5" xfId="0" applyBorder="1"/>
    <xf numFmtId="177" fontId="0" fillId="0" borderId="6" xfId="0" applyNumberFormat="1" applyBorder="1"/>
    <xf numFmtId="0" fontId="0" fillId="0" borderId="18" xfId="0" applyBorder="1"/>
    <xf numFmtId="0" fontId="0" fillId="0" borderId="19" xfId="0" applyBorder="1"/>
    <xf numFmtId="0" fontId="7" fillId="0" borderId="20" xfId="0" applyFont="1" applyBorder="1" applyAlignment="1">
      <alignment horizontal="center" vertical="center"/>
    </xf>
    <xf numFmtId="0" fontId="0" fillId="0" borderId="20" xfId="0" applyBorder="1"/>
    <xf numFmtId="177" fontId="0" fillId="0" borderId="21" xfId="0" applyNumberFormat="1" applyBorder="1"/>
    <xf numFmtId="177" fontId="0" fillId="0" borderId="0" xfId="0" applyNumberFormat="1" applyBorder="1"/>
  </cellXfs>
  <cellStyles count="63">
    <cellStyle name="常规" xfId="0" builtinId="0"/>
    <cellStyle name="货币[0]" xfId="1" builtinId="7"/>
    <cellStyle name="@ET_Style?CF_Style_4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常规_2010109134835250_3. 2015年报表归属" xfId="12"/>
    <cellStyle name="百分比" xfId="13" builtinId="5"/>
    <cellStyle name="已访问的超链接" xfId="14" builtinId="9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@ET_Style?CF_Style_7" xfId="29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常规 4_3. 2015年报表归属" xfId="34"/>
    <cellStyle name="好" xfId="35" builtinId="26"/>
    <cellStyle name="适中" xfId="36" builtinId="28"/>
    <cellStyle name="@ET_Style?CF_Style_6" xfId="37"/>
    <cellStyle name="20% - 强调文字颜色 5" xfId="38" builtinId="46"/>
    <cellStyle name="强调文字颜色 1" xfId="39" builtinId="29"/>
    <cellStyle name="@ET_Style?CF_Style_2" xfId="40"/>
    <cellStyle name="20% - 强调文字颜色 1" xfId="41" builtinId="30"/>
    <cellStyle name="40% - 强调文字颜色 1" xfId="42" builtinId="31"/>
    <cellStyle name="@ET_Style?CF_Style_3" xfId="43"/>
    <cellStyle name="20% - 强调文字颜色 2" xfId="44" builtinId="34"/>
    <cellStyle name="40% - 强调文字颜色 2" xfId="45" builtinId="35"/>
    <cellStyle name="常规_2010109134837312" xfId="46"/>
    <cellStyle name="@ET_Style?CF_Style_8" xfId="47"/>
    <cellStyle name="强调文字颜色 3" xfId="48" builtinId="37"/>
    <cellStyle name="强调文字颜色 4" xfId="49" builtinId="41"/>
    <cellStyle name="@ET_Style?CF_Style_5" xfId="50"/>
    <cellStyle name="20% - 强调文字颜色 4" xfId="51" builtinId="42"/>
    <cellStyle name="40% - 强调文字颜色 4" xfId="52" builtinId="43"/>
    <cellStyle name="强调文字颜色 5" xfId="53" builtinId="45"/>
    <cellStyle name="40% - 强调文字颜色 5" xfId="54" builtinId="47"/>
    <cellStyle name="60% - 强调文字颜色 5" xfId="55" builtinId="48"/>
    <cellStyle name="强调文字颜色 6" xfId="56" builtinId="49"/>
    <cellStyle name="40% - 强调文字颜色 6" xfId="57" builtinId="51"/>
    <cellStyle name="60% - 强调文字颜色 6" xfId="58" builtinId="52"/>
    <cellStyle name="常规 2_3. 2015年报表归属" xfId="59"/>
    <cellStyle name="@ET_Style?CF_Style_1" xfId="60"/>
    <cellStyle name="常规_区域单家报表归属" xfId="61"/>
    <cellStyle name="千位分隔 2" xfId="62"/>
  </cellStyles>
  <tableStyles count="0" defaultTableStyle="TableStyleMedium2" defaultPivotStyle="PivotStyleLight16"/>
  <colors>
    <mruColors>
      <color rgb="00FFFFFF"/>
      <color rgb="00FFFF00"/>
      <color rgb="005B9BD5"/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tabSelected="1" zoomScale="85" zoomScaleNormal="85" zoomScaleSheetLayoutView="60" workbookViewId="0">
      <selection activeCell="A12" sqref="A12:B12"/>
    </sheetView>
  </sheetViews>
  <sheetFormatPr defaultColWidth="9" defaultRowHeight="14.25" outlineLevelCol="6"/>
  <cols>
    <col min="1" max="1" width="14.7083333333333" customWidth="1"/>
    <col min="2" max="2" width="35.25" customWidth="1"/>
    <col min="3" max="3" width="18.9" customWidth="1"/>
    <col min="4" max="4" width="14.625" customWidth="1"/>
    <col min="5" max="5" width="36.0166666666667" customWidth="1"/>
    <col min="6" max="6" width="16.5" customWidth="1"/>
    <col min="7" max="7" width="18.9" style="4" customWidth="1"/>
    <col min="8" max="244" width="9.1" customWidth="1"/>
    <col min="245" max="245" width="9.1"/>
  </cols>
  <sheetData>
    <row r="1" s="1" customFormat="1" ht="52" customHeight="1" spans="1:7">
      <c r="A1" s="5" t="s">
        <v>0</v>
      </c>
      <c r="B1" s="5"/>
      <c r="C1" s="5"/>
      <c r="D1" s="5"/>
      <c r="E1" s="5"/>
      <c r="F1" s="5"/>
      <c r="G1" s="5"/>
    </row>
    <row r="2" s="2" customFormat="1" ht="35" customHeight="1" spans="1:7">
      <c r="A2" s="6" t="s">
        <v>1</v>
      </c>
      <c r="B2" s="7"/>
      <c r="C2" s="8"/>
      <c r="D2" s="9" t="s">
        <v>2</v>
      </c>
      <c r="E2" s="10"/>
      <c r="F2" s="10"/>
      <c r="G2" s="11"/>
    </row>
    <row r="3" ht="45" customHeight="1" spans="1:7">
      <c r="A3" s="12" t="s">
        <v>3</v>
      </c>
      <c r="B3" s="13"/>
      <c r="C3" s="14"/>
      <c r="D3" s="12" t="s">
        <v>4</v>
      </c>
      <c r="E3" s="13"/>
      <c r="F3" s="13"/>
      <c r="G3" s="15" t="s">
        <v>5</v>
      </c>
    </row>
    <row r="4" ht="45" customHeight="1" spans="1:7">
      <c r="A4" s="12" t="s">
        <v>6</v>
      </c>
      <c r="B4" s="13" t="s">
        <v>7</v>
      </c>
      <c r="C4" s="14" t="s">
        <v>8</v>
      </c>
      <c r="D4" s="12" t="s">
        <v>6</v>
      </c>
      <c r="E4" s="13" t="s">
        <v>7</v>
      </c>
      <c r="F4" s="13" t="s">
        <v>8</v>
      </c>
      <c r="G4" s="15"/>
    </row>
    <row r="5" ht="45" customHeight="1" spans="1:7">
      <c r="A5" s="16" t="s">
        <v>9</v>
      </c>
      <c r="B5" s="16"/>
      <c r="C5" s="17">
        <f>C6+C7+C10+C11</f>
        <v>0</v>
      </c>
      <c r="D5" s="16" t="s">
        <v>10</v>
      </c>
      <c r="E5" s="16"/>
      <c r="F5" s="17">
        <f>F6+F7+F10+F11</f>
        <v>0</v>
      </c>
      <c r="G5" s="18">
        <f>C5+F5</f>
        <v>0</v>
      </c>
    </row>
    <row r="6" ht="45" customHeight="1" spans="1:7">
      <c r="A6" s="19"/>
      <c r="B6" s="20" t="s">
        <v>11</v>
      </c>
      <c r="C6" s="17">
        <f>SUM(C18:C27)</f>
        <v>0</v>
      </c>
      <c r="D6" s="13"/>
      <c r="E6" s="21" t="s">
        <v>12</v>
      </c>
      <c r="F6" s="17">
        <f>SUM(F18:F27)</f>
        <v>0</v>
      </c>
      <c r="G6" s="18">
        <f t="shared" ref="G6:G15" si="0">C6+F6</f>
        <v>0</v>
      </c>
    </row>
    <row r="7" ht="45" customHeight="1" spans="1:7">
      <c r="A7" s="19"/>
      <c r="B7" s="20" t="s">
        <v>13</v>
      </c>
      <c r="C7" s="17">
        <f>SUM(C29:C40)-C41</f>
        <v>0</v>
      </c>
      <c r="D7" s="13"/>
      <c r="E7" s="21" t="s">
        <v>14</v>
      </c>
      <c r="F7" s="17">
        <f>SUM(F29:F40)-F41</f>
        <v>0</v>
      </c>
      <c r="G7" s="18">
        <f t="shared" si="0"/>
        <v>0</v>
      </c>
    </row>
    <row r="8" ht="45" customHeight="1" spans="1:7">
      <c r="A8" s="19"/>
      <c r="B8" s="13" t="s">
        <v>15</v>
      </c>
      <c r="C8" s="22" t="s">
        <v>16</v>
      </c>
      <c r="D8" s="13"/>
      <c r="E8" s="23" t="s">
        <v>17</v>
      </c>
      <c r="F8" s="22" t="s">
        <v>18</v>
      </c>
      <c r="G8" s="18" t="e">
        <f t="shared" si="0"/>
        <v>#VALUE!</v>
      </c>
    </row>
    <row r="9" ht="45" customHeight="1" spans="1:7">
      <c r="A9" s="19"/>
      <c r="B9" s="13" t="s">
        <v>19</v>
      </c>
      <c r="C9" s="22" t="s">
        <v>20</v>
      </c>
      <c r="D9" s="13"/>
      <c r="E9" s="23" t="s">
        <v>21</v>
      </c>
      <c r="F9" s="22" t="s">
        <v>22</v>
      </c>
      <c r="G9" s="18" t="e">
        <f t="shared" si="0"/>
        <v>#VALUE!</v>
      </c>
    </row>
    <row r="10" ht="45" customHeight="1" spans="1:7">
      <c r="A10" s="19"/>
      <c r="B10" s="20" t="s">
        <v>23</v>
      </c>
      <c r="C10" s="17">
        <f>SUM(C43:C44)</f>
        <v>0</v>
      </c>
      <c r="D10" s="13"/>
      <c r="E10" s="21" t="s">
        <v>24</v>
      </c>
      <c r="F10" s="17">
        <f>SUM(F43:F44)</f>
        <v>0</v>
      </c>
      <c r="G10" s="18">
        <f t="shared" si="0"/>
        <v>0</v>
      </c>
    </row>
    <row r="11" ht="45" customHeight="1" spans="1:7">
      <c r="A11" s="19"/>
      <c r="B11" s="20" t="s">
        <v>25</v>
      </c>
      <c r="C11" s="17">
        <f>SUM(C46:C47)</f>
        <v>0</v>
      </c>
      <c r="D11" s="13"/>
      <c r="E11" s="20" t="s">
        <v>26</v>
      </c>
      <c r="F11" s="17">
        <f>SUM(F46:F47)</f>
        <v>0</v>
      </c>
      <c r="G11" s="18">
        <f t="shared" si="0"/>
        <v>0</v>
      </c>
    </row>
    <row r="12" ht="45" customHeight="1" spans="1:7">
      <c r="A12" s="24" t="s">
        <v>27</v>
      </c>
      <c r="B12" s="25"/>
      <c r="C12" s="17">
        <f>C13</f>
        <v>0</v>
      </c>
      <c r="D12" s="24" t="s">
        <v>28</v>
      </c>
      <c r="E12" s="25"/>
      <c r="F12" s="17">
        <f>F13</f>
        <v>0</v>
      </c>
      <c r="G12" s="18">
        <f>C12+F12</f>
        <v>0</v>
      </c>
    </row>
    <row r="13" ht="45" customHeight="1" spans="1:7">
      <c r="A13" s="26"/>
      <c r="B13" s="26" t="s">
        <v>29</v>
      </c>
      <c r="C13" s="17">
        <f>C49</f>
        <v>0</v>
      </c>
      <c r="D13" s="13" t="s">
        <v>27</v>
      </c>
      <c r="E13" s="20" t="s">
        <v>30</v>
      </c>
      <c r="F13" s="17">
        <f>F49</f>
        <v>0</v>
      </c>
      <c r="G13" s="18">
        <f>C13+F13</f>
        <v>0</v>
      </c>
    </row>
    <row r="14" ht="45" customHeight="1" spans="1:7">
      <c r="A14" s="27" t="s">
        <v>31</v>
      </c>
      <c r="B14" s="27" t="s">
        <v>31</v>
      </c>
      <c r="C14" s="22" t="s">
        <v>32</v>
      </c>
      <c r="D14" s="27" t="s">
        <v>33</v>
      </c>
      <c r="E14" s="27" t="s">
        <v>33</v>
      </c>
      <c r="F14" s="22" t="s">
        <v>34</v>
      </c>
      <c r="G14" s="18" t="e">
        <f>C14+F14</f>
        <v>#VALUE!</v>
      </c>
    </row>
    <row r="15" ht="45" customHeight="1" spans="1:7">
      <c r="A15" s="27" t="s">
        <v>35</v>
      </c>
      <c r="B15" s="27" t="s">
        <v>35</v>
      </c>
      <c r="C15" s="17">
        <v>0</v>
      </c>
      <c r="D15" s="27" t="s">
        <v>36</v>
      </c>
      <c r="E15" s="27" t="s">
        <v>36</v>
      </c>
      <c r="F15" s="17">
        <v>0</v>
      </c>
      <c r="G15" s="18">
        <f>C15+F15</f>
        <v>0</v>
      </c>
    </row>
    <row r="16" ht="45" customHeight="1" spans="1:7">
      <c r="A16" s="20" t="s">
        <v>5</v>
      </c>
      <c r="B16" s="20"/>
      <c r="C16" s="17" t="e">
        <f>C6+C7+C10-C14-C15</f>
        <v>#VALUE!</v>
      </c>
      <c r="D16" s="21" t="s">
        <v>5</v>
      </c>
      <c r="E16" s="21"/>
      <c r="F16" s="17" t="e">
        <f>F6+F7+F10-F14-F15</f>
        <v>#VALUE!</v>
      </c>
      <c r="G16" s="18" t="e">
        <f>C16+F16</f>
        <v>#VALUE!</v>
      </c>
    </row>
    <row r="17" s="3" customFormat="1" ht="45" customHeight="1" spans="1:7">
      <c r="A17" s="28" t="s">
        <v>11</v>
      </c>
      <c r="B17" s="29"/>
      <c r="C17" s="29"/>
      <c r="D17" s="30" t="s">
        <v>12</v>
      </c>
      <c r="E17" s="30"/>
      <c r="F17" s="30"/>
      <c r="G17" s="31"/>
    </row>
    <row r="18" s="3" customFormat="1" ht="30" customHeight="1" spans="1:7">
      <c r="A18" s="32">
        <v>2003</v>
      </c>
      <c r="B18" s="33" t="s">
        <v>37</v>
      </c>
      <c r="C18" s="34"/>
      <c r="D18" s="33">
        <v>223103</v>
      </c>
      <c r="E18" s="35" t="s">
        <v>38</v>
      </c>
      <c r="F18" s="34"/>
      <c r="G18" s="36"/>
    </row>
    <row r="19" s="3" customFormat="1" ht="30" customHeight="1" spans="1:7">
      <c r="A19" s="32">
        <v>2004</v>
      </c>
      <c r="B19" s="33" t="s">
        <v>39</v>
      </c>
      <c r="C19" s="34"/>
      <c r="D19" s="33">
        <v>223104</v>
      </c>
      <c r="E19" s="35" t="s">
        <v>40</v>
      </c>
      <c r="F19" s="34"/>
      <c r="G19" s="37"/>
    </row>
    <row r="20" s="3" customFormat="1" ht="30" customHeight="1" spans="1:7">
      <c r="A20" s="32">
        <v>200503</v>
      </c>
      <c r="B20" s="33" t="s">
        <v>41</v>
      </c>
      <c r="C20" s="34"/>
      <c r="D20" s="33">
        <v>22310503</v>
      </c>
      <c r="E20" s="35" t="s">
        <v>42</v>
      </c>
      <c r="F20" s="34"/>
      <c r="G20" s="37"/>
    </row>
    <row r="21" s="3" customFormat="1" ht="30" customHeight="1" spans="1:7">
      <c r="A21" s="32">
        <v>200504</v>
      </c>
      <c r="B21" s="33" t="s">
        <v>43</v>
      </c>
      <c r="C21" s="34"/>
      <c r="D21" s="33">
        <v>22310504</v>
      </c>
      <c r="E21" s="35" t="s">
        <v>44</v>
      </c>
      <c r="F21" s="34"/>
      <c r="G21" s="37"/>
    </row>
    <row r="22" s="3" customFormat="1" ht="30" customHeight="1" spans="1:7">
      <c r="A22" s="32">
        <v>20140102</v>
      </c>
      <c r="B22" s="38" t="s">
        <v>45</v>
      </c>
      <c r="C22" s="34"/>
      <c r="D22" s="33"/>
      <c r="E22" s="35"/>
      <c r="F22" s="34"/>
      <c r="G22" s="37"/>
    </row>
    <row r="23" s="3" customFormat="1" ht="30" customHeight="1" spans="1:7">
      <c r="A23" s="32">
        <v>20140202</v>
      </c>
      <c r="B23" s="39"/>
      <c r="C23" s="34"/>
      <c r="D23" s="33"/>
      <c r="E23" s="35"/>
      <c r="F23" s="34"/>
      <c r="G23" s="37"/>
    </row>
    <row r="24" s="3" customFormat="1" ht="30" customHeight="1" spans="1:7">
      <c r="A24" s="32">
        <v>20140302</v>
      </c>
      <c r="B24" s="39"/>
      <c r="C24" s="34"/>
      <c r="D24" s="33"/>
      <c r="E24" s="35"/>
      <c r="F24" s="34"/>
      <c r="G24" s="37"/>
    </row>
    <row r="25" s="3" customFormat="1" ht="30" customHeight="1" spans="1:7">
      <c r="A25" s="40">
        <v>20140402</v>
      </c>
      <c r="B25" s="41"/>
      <c r="C25" s="34"/>
      <c r="D25" s="33"/>
      <c r="E25" s="35"/>
      <c r="F25" s="34"/>
      <c r="G25" s="37"/>
    </row>
    <row r="26" s="3" customFormat="1" ht="30" customHeight="1" spans="1:7">
      <c r="A26" s="42">
        <v>22410401</v>
      </c>
      <c r="B26" s="34" t="s">
        <v>46</v>
      </c>
      <c r="C26" s="34"/>
      <c r="D26" s="34"/>
      <c r="F26" s="34"/>
      <c r="G26" s="37"/>
    </row>
    <row r="27" s="3" customFormat="1" ht="30" customHeight="1" spans="1:7">
      <c r="A27" s="42"/>
      <c r="B27" s="34" t="s">
        <v>47</v>
      </c>
      <c r="C27" s="34"/>
      <c r="D27" s="34"/>
      <c r="E27" s="34" t="s">
        <v>48</v>
      </c>
      <c r="F27" s="34"/>
      <c r="G27" s="37"/>
    </row>
    <row r="28" s="3" customFormat="1" ht="45" customHeight="1" spans="1:7">
      <c r="A28" s="43" t="s">
        <v>13</v>
      </c>
      <c r="B28" s="44"/>
      <c r="C28" s="45"/>
      <c r="D28" s="46" t="s">
        <v>14</v>
      </c>
      <c r="E28" s="47"/>
      <c r="F28" s="48"/>
      <c r="G28" s="37"/>
    </row>
    <row r="29" s="3" customFormat="1" ht="30" customHeight="1" spans="1:7">
      <c r="A29" s="32">
        <v>2001</v>
      </c>
      <c r="B29" s="33" t="s">
        <v>49</v>
      </c>
      <c r="C29" s="34"/>
      <c r="D29" s="33">
        <v>223101</v>
      </c>
      <c r="E29" s="33" t="s">
        <v>50</v>
      </c>
      <c r="F29" s="34"/>
      <c r="G29" s="49"/>
    </row>
    <row r="30" s="3" customFormat="1" ht="30" customHeight="1" spans="1:7">
      <c r="A30" s="32">
        <v>2002</v>
      </c>
      <c r="B30" s="33" t="s">
        <v>51</v>
      </c>
      <c r="C30" s="34"/>
      <c r="D30" s="33">
        <v>223102</v>
      </c>
      <c r="E30" s="33" t="s">
        <v>52</v>
      </c>
      <c r="F30" s="34"/>
      <c r="G30" s="37"/>
    </row>
    <row r="31" s="3" customFormat="1" ht="30" customHeight="1" spans="1:7">
      <c r="A31" s="32">
        <v>200501</v>
      </c>
      <c r="B31" s="33" t="s">
        <v>53</v>
      </c>
      <c r="C31" s="34"/>
      <c r="D31" s="33">
        <v>22310501</v>
      </c>
      <c r="E31" s="35" t="s">
        <v>54</v>
      </c>
      <c r="F31" s="34"/>
      <c r="G31" s="37"/>
    </row>
    <row r="32" s="3" customFormat="1" ht="30" customHeight="1" spans="1:7">
      <c r="A32" s="32">
        <v>200502</v>
      </c>
      <c r="B32" s="33" t="s">
        <v>55</v>
      </c>
      <c r="C32" s="34"/>
      <c r="D32" s="33">
        <v>22310502</v>
      </c>
      <c r="E32" s="35" t="s">
        <v>56</v>
      </c>
      <c r="F32" s="34"/>
      <c r="G32" s="37"/>
    </row>
    <row r="33" s="3" customFormat="1" ht="30" customHeight="1" spans="1:7">
      <c r="A33" s="32">
        <v>200601</v>
      </c>
      <c r="B33" s="33" t="s">
        <v>57</v>
      </c>
      <c r="C33" s="34"/>
      <c r="D33" s="34">
        <v>22310601</v>
      </c>
      <c r="E33" s="50" t="s">
        <v>58</v>
      </c>
      <c r="F33" s="34"/>
      <c r="G33" s="37"/>
    </row>
    <row r="34" s="3" customFormat="1" ht="30" customHeight="1" spans="1:7">
      <c r="A34" s="32">
        <v>2011</v>
      </c>
      <c r="B34" s="33" t="s">
        <v>59</v>
      </c>
      <c r="C34" s="34"/>
      <c r="D34" s="51"/>
      <c r="E34" s="51"/>
      <c r="F34" s="34"/>
      <c r="G34" s="37"/>
    </row>
    <row r="35" s="3" customFormat="1" ht="30" customHeight="1" spans="1:7">
      <c r="A35" s="32">
        <v>20140101</v>
      </c>
      <c r="B35" s="38" t="s">
        <v>60</v>
      </c>
      <c r="C35" s="34"/>
      <c r="D35" s="51"/>
      <c r="E35" s="51"/>
      <c r="F35" s="34"/>
      <c r="G35" s="37"/>
    </row>
    <row r="36" s="3" customFormat="1" ht="30" customHeight="1" spans="1:7">
      <c r="A36" s="32">
        <v>20140201</v>
      </c>
      <c r="B36" s="39"/>
      <c r="C36" s="34"/>
      <c r="D36" s="51"/>
      <c r="E36" s="51"/>
      <c r="F36" s="34"/>
      <c r="G36" s="37"/>
    </row>
    <row r="37" s="3" customFormat="1" ht="30" customHeight="1" spans="1:7">
      <c r="A37" s="32">
        <v>20140301</v>
      </c>
      <c r="B37" s="39"/>
      <c r="C37" s="34"/>
      <c r="D37" s="51"/>
      <c r="E37" s="51"/>
      <c r="F37" s="34"/>
      <c r="G37" s="37"/>
    </row>
    <row r="38" s="3" customFormat="1" ht="30" customHeight="1" spans="1:7">
      <c r="A38" s="32">
        <v>20140401</v>
      </c>
      <c r="B38" s="41"/>
      <c r="C38" s="34"/>
      <c r="D38" s="33">
        <v>223108</v>
      </c>
      <c r="E38" s="35" t="s">
        <v>61</v>
      </c>
      <c r="F38" s="34"/>
      <c r="G38" s="37"/>
    </row>
    <row r="39" s="3" customFormat="1" ht="30" customHeight="1" spans="1:7">
      <c r="A39" s="42">
        <v>22410402</v>
      </c>
      <c r="B39" s="50" t="s">
        <v>62</v>
      </c>
      <c r="C39" s="34"/>
      <c r="D39" s="34"/>
      <c r="F39" s="34"/>
      <c r="G39" s="37"/>
    </row>
    <row r="40" s="3" customFormat="1" ht="30" customHeight="1" spans="1:7">
      <c r="A40" s="42">
        <v>630108</v>
      </c>
      <c r="B40" s="50" t="s">
        <v>63</v>
      </c>
      <c r="C40" s="34"/>
      <c r="D40" s="34"/>
      <c r="E40" s="34"/>
      <c r="F40" s="34"/>
      <c r="G40" s="37"/>
    </row>
    <row r="41" s="3" customFormat="1" ht="30" customHeight="1" spans="1:7">
      <c r="A41" s="42"/>
      <c r="B41" s="34" t="s">
        <v>64</v>
      </c>
      <c r="C41" s="34"/>
      <c r="D41" s="34"/>
      <c r="E41" s="34" t="s">
        <v>65</v>
      </c>
      <c r="F41" s="34"/>
      <c r="G41" s="37"/>
    </row>
    <row r="42" ht="45" customHeight="1" spans="1:7">
      <c r="A42" s="43" t="s">
        <v>23</v>
      </c>
      <c r="B42" s="44"/>
      <c r="C42" s="45"/>
      <c r="D42" s="46" t="s">
        <v>24</v>
      </c>
      <c r="E42" s="47"/>
      <c r="F42" s="48"/>
      <c r="G42" s="52"/>
    </row>
    <row r="43" s="3" customFormat="1" ht="30" customHeight="1" spans="1:7">
      <c r="A43" s="32">
        <v>200602</v>
      </c>
      <c r="B43" s="53" t="s">
        <v>66</v>
      </c>
      <c r="C43" s="34"/>
      <c r="D43" s="33">
        <v>22310602</v>
      </c>
      <c r="E43" s="33" t="s">
        <v>67</v>
      </c>
      <c r="F43" s="34"/>
      <c r="G43" s="36"/>
    </row>
    <row r="44" s="3" customFormat="1" ht="30" customHeight="1" spans="1:7">
      <c r="A44" s="32">
        <v>2007</v>
      </c>
      <c r="B44" s="53" t="s">
        <v>68</v>
      </c>
      <c r="C44" s="34"/>
      <c r="D44" s="33">
        <v>223107</v>
      </c>
      <c r="E44" s="33" t="s">
        <v>69</v>
      </c>
      <c r="F44" s="34"/>
      <c r="G44" s="36"/>
    </row>
    <row r="45" ht="45" customHeight="1" spans="1:7">
      <c r="A45" s="43" t="s">
        <v>25</v>
      </c>
      <c r="B45" s="44"/>
      <c r="C45" s="45"/>
      <c r="D45" s="46" t="s">
        <v>26</v>
      </c>
      <c r="E45" s="47"/>
      <c r="F45" s="48"/>
      <c r="G45" s="52"/>
    </row>
    <row r="46" s="3" customFormat="1" ht="30" customHeight="1" spans="1:7">
      <c r="A46" s="32">
        <v>201705</v>
      </c>
      <c r="B46" s="32" t="s">
        <v>70</v>
      </c>
      <c r="C46" s="34"/>
      <c r="D46" s="33">
        <v>22311005</v>
      </c>
      <c r="E46" s="35" t="s">
        <v>71</v>
      </c>
      <c r="F46" s="34"/>
      <c r="G46" s="36"/>
    </row>
    <row r="47" s="3" customFormat="1" ht="30" customHeight="1" spans="1:7">
      <c r="A47" s="32">
        <v>201799</v>
      </c>
      <c r="B47" s="32" t="s">
        <v>72</v>
      </c>
      <c r="C47" s="34"/>
      <c r="D47" s="33">
        <v>22311099</v>
      </c>
      <c r="E47" s="35" t="s">
        <v>71</v>
      </c>
      <c r="F47" s="34"/>
      <c r="G47" s="36"/>
    </row>
    <row r="48" ht="45" customHeight="1" spans="1:7">
      <c r="A48" s="43" t="s">
        <v>73</v>
      </c>
      <c r="B48" s="44"/>
      <c r="C48" s="45"/>
      <c r="D48" s="46" t="s">
        <v>73</v>
      </c>
      <c r="E48" s="47"/>
      <c r="F48" s="48"/>
      <c r="G48" s="52"/>
    </row>
    <row r="49" s="3" customFormat="1" ht="30" customHeight="1" spans="1:7">
      <c r="A49" s="32">
        <v>201704</v>
      </c>
      <c r="B49" s="32" t="s">
        <v>74</v>
      </c>
      <c r="C49" s="34"/>
      <c r="D49" s="33">
        <v>22311004</v>
      </c>
      <c r="E49" s="35" t="s">
        <v>75</v>
      </c>
      <c r="F49" s="34"/>
      <c r="G49" s="36"/>
    </row>
    <row r="50" spans="1:7">
      <c r="A50" s="54"/>
      <c r="B50" s="55"/>
      <c r="C50" s="56"/>
      <c r="D50" s="57"/>
      <c r="E50" s="57"/>
      <c r="F50" s="57"/>
      <c r="G50" s="58"/>
    </row>
    <row r="51" ht="15" spans="1:7">
      <c r="A51" s="59"/>
      <c r="B51" s="60"/>
      <c r="C51" s="61"/>
      <c r="D51" s="62"/>
      <c r="E51" s="62"/>
      <c r="F51" s="62"/>
      <c r="G51" s="63"/>
    </row>
    <row r="52" spans="1:7">
      <c r="A52" s="2"/>
      <c r="B52" s="2"/>
      <c r="C52" s="2"/>
      <c r="D52" s="2"/>
      <c r="E52" s="2"/>
      <c r="F52" s="2"/>
      <c r="G52" s="64"/>
    </row>
    <row r="53" spans="1:7">
      <c r="A53" s="2"/>
      <c r="B53" s="2"/>
      <c r="C53" s="2"/>
      <c r="D53" s="2"/>
      <c r="E53" s="2"/>
      <c r="F53" s="2"/>
      <c r="G53" s="64"/>
    </row>
    <row r="54" spans="1:7">
      <c r="A54" s="2"/>
      <c r="B54" s="2"/>
      <c r="C54" s="2"/>
      <c r="D54" s="2"/>
      <c r="E54" s="2"/>
      <c r="F54" s="2"/>
      <c r="G54" s="64"/>
    </row>
  </sheetData>
  <mergeCells count="26">
    <mergeCell ref="A1:G1"/>
    <mergeCell ref="A2:C2"/>
    <mergeCell ref="D2:G2"/>
    <mergeCell ref="A3:C3"/>
    <mergeCell ref="D3:F3"/>
    <mergeCell ref="A5:B5"/>
    <mergeCell ref="D5:E5"/>
    <mergeCell ref="A12:B12"/>
    <mergeCell ref="D12:E12"/>
    <mergeCell ref="A16:B16"/>
    <mergeCell ref="D16:E16"/>
    <mergeCell ref="A17:C17"/>
    <mergeCell ref="D17:F17"/>
    <mergeCell ref="A28:C28"/>
    <mergeCell ref="D28:F28"/>
    <mergeCell ref="A42:C42"/>
    <mergeCell ref="D42:F42"/>
    <mergeCell ref="A45:C45"/>
    <mergeCell ref="D45:F45"/>
    <mergeCell ref="A48:C48"/>
    <mergeCell ref="D48:F48"/>
    <mergeCell ref="A6:A11"/>
    <mergeCell ref="B22:B25"/>
    <mergeCell ref="B35:B38"/>
    <mergeCell ref="D6:D11"/>
    <mergeCell ref="G3:G4"/>
  </mergeCells>
  <pageMargins left="0.698611111111111" right="0.698611111111111" top="0.75" bottom="0.75" header="0.3" footer="0.3"/>
  <pageSetup paperSize="9" orientation="portrait" horizontalDpi="600" verticalDpi="600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��:S�W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保费基数核对表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THTF</cp:lastModifiedBy>
  <cp:revision>1</cp:revision>
  <dcterms:created xsi:type="dcterms:W3CDTF">1996-12-17T01:32:00Z</dcterms:created>
  <cp:lastPrinted>2016-09-07T08:03:00Z</cp:lastPrinted>
  <dcterms:modified xsi:type="dcterms:W3CDTF">2026-07-08T02:25:33Z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52EF5E4308C045FF9A4603620BD4ED55</vt:lpwstr>
  </property>
</Properties>
</file>