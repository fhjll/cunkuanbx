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080" tabRatio="600" firstSheet="0" activeTab="0" autoFilterDateGrouping="1"/>
  </bookViews>
  <sheets>
    <sheet xmlns:r="http://schemas.openxmlformats.org/officeDocument/2006/relationships" name="保费基数核对表" sheetId="1" state="visible" r:id="rId1"/>
    <sheet xmlns:r="http://schemas.openxmlformats.org/officeDocument/2006/relationships" name="校验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0.00_ "/>
    <numFmt numFmtId="166" formatCode="0.00;[Red]0.00"/>
  </numFmts>
  <fonts count="34">
    <font>
      <name val="宋体"/>
      <charset val="134"/>
      <sz val="12"/>
    </font>
    <font>
      <name val="仿宋_GB2312"/>
      <charset val="134"/>
      <sz val="12"/>
    </font>
    <font>
      <name val="仿宋_GB2312"/>
      <charset val="134"/>
      <b val="1"/>
      <sz val="12"/>
    </font>
    <font>
      <name val="黑体"/>
      <charset val="134"/>
      <sz val="16"/>
    </font>
    <font>
      <name val="方正小标宋_GBK"/>
      <charset val="134"/>
      <b val="1"/>
      <sz val="22"/>
    </font>
    <font>
      <name val="华文中宋"/>
      <charset val="134"/>
      <sz val="16"/>
    </font>
    <font>
      <name val="宋体"/>
      <charset val="134"/>
      <sz val="10"/>
    </font>
    <font>
      <name val="宋体"/>
      <charset val="134"/>
      <b val="1"/>
      <sz val="10"/>
    </font>
    <font>
      <name val="仿宋_GB2312"/>
      <charset val="134"/>
      <sz val="10"/>
    </font>
    <font>
      <name val="宋体"/>
      <charset val="134"/>
      <color indexed="8"/>
      <sz val="10"/>
    </font>
    <font>
      <name val="宋体"/>
      <charset val="134"/>
      <color indexed="12"/>
      <sz val="11"/>
      <u val="single"/>
    </font>
    <font>
      <name val="宋体"/>
      <charset val="134"/>
      <color indexed="20"/>
      <sz val="11"/>
      <u val="single"/>
    </font>
    <font>
      <name val="宋体"/>
      <charset val="134"/>
      <color indexed="10"/>
      <sz val="11"/>
    </font>
    <font>
      <name val="宋体"/>
      <charset val="134"/>
      <b val="1"/>
      <color indexed="62"/>
      <sz val="18"/>
    </font>
    <font>
      <name val="宋体"/>
      <charset val="134"/>
      <i val="1"/>
      <color indexed="23"/>
      <sz val="11"/>
    </font>
    <font>
      <name val="宋体"/>
      <charset val="134"/>
      <b val="1"/>
      <color indexed="62"/>
      <sz val="15"/>
    </font>
    <font>
      <name val="宋体"/>
      <charset val="134"/>
      <b val="1"/>
      <color indexed="62"/>
      <sz val="13"/>
    </font>
    <font>
      <name val="宋体"/>
      <charset val="134"/>
      <b val="1"/>
      <color indexed="62"/>
      <sz val="11"/>
    </font>
    <font>
      <name val="宋体"/>
      <charset val="134"/>
      <color indexed="62"/>
      <sz val="11"/>
    </font>
    <font>
      <name val="宋体"/>
      <charset val="134"/>
      <b val="1"/>
      <color indexed="63"/>
      <sz val="11"/>
    </font>
    <font>
      <name val="宋体"/>
      <charset val="134"/>
      <b val="1"/>
      <color indexed="53"/>
      <sz val="11"/>
    </font>
    <font>
      <name val="宋体"/>
      <charset val="134"/>
      <b val="1"/>
      <color indexed="9"/>
      <sz val="11"/>
    </font>
    <font>
      <name val="宋体"/>
      <charset val="134"/>
      <color indexed="53"/>
      <sz val="11"/>
    </font>
    <font>
      <name val="宋体"/>
      <charset val="134"/>
      <b val="1"/>
      <color indexed="8"/>
      <sz val="11"/>
    </font>
    <font>
      <name val="宋体"/>
      <charset val="134"/>
      <color indexed="17"/>
      <sz val="11"/>
    </font>
    <font>
      <name val="宋体"/>
      <charset val="134"/>
      <color indexed="16"/>
      <sz val="11"/>
    </font>
    <font>
      <name val="宋体"/>
      <charset val="134"/>
      <color indexed="19"/>
      <sz val="11"/>
    </font>
    <font>
      <name val="宋体"/>
      <charset val="134"/>
      <color indexed="9"/>
      <sz val="11"/>
    </font>
    <font>
      <name val="宋体"/>
      <charset val="134"/>
      <color indexed="8"/>
      <sz val="11"/>
    </font>
    <font>
      <name val="宋体"/>
      <charset val="134"/>
      <color indexed="8"/>
      <sz val="12"/>
    </font>
    <font>
      <name val="宋体"/>
      <charset val="134"/>
      <color indexed="20"/>
      <sz val="12"/>
    </font>
    <font>
      <name val="宋体"/>
      <charset val="134"/>
      <b val="1"/>
      <sz val="12"/>
    </font>
    <font>
      <name val="宋体"/>
      <charset val="134"/>
      <sz val="9"/>
    </font>
    <font>
      <name val="宋体"/>
      <charset val="134"/>
      <b val="1"/>
      <sz val="9"/>
    </font>
  </fonts>
  <fills count="26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0"/>
        <bgColor indexed="64"/>
      </patternFill>
    </fill>
  </fills>
  <borders count="68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54"/>
      </top>
      <bottom style="double">
        <color indexed="54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indexed="8"/>
      </top>
      <bottom/>
      <diagonal/>
    </border>
  </borders>
  <cellStyleXfs count="63">
    <xf numFmtId="0" fontId="0" fillId="0" borderId="0"/>
    <xf numFmtId="43" fontId="0" fillId="0" borderId="0"/>
    <xf numFmtId="44" fontId="0" fillId="0" borderId="0"/>
    <xf numFmtId="9" fontId="0" fillId="0" borderId="0"/>
    <xf numFmtId="41" fontId="0" fillId="0" borderId="0"/>
    <xf numFmtId="42" fontId="0" fillId="0" borderId="0"/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10" borderId="5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51" applyAlignment="1">
      <alignment vertical="center"/>
    </xf>
    <xf numFmtId="0" fontId="16" fillId="0" borderId="52" applyAlignment="1">
      <alignment vertical="center"/>
    </xf>
    <xf numFmtId="0" fontId="17" fillId="0" borderId="53" applyAlignment="1">
      <alignment vertical="center"/>
    </xf>
    <xf numFmtId="0" fontId="17" fillId="0" borderId="0" applyAlignment="1">
      <alignment vertical="center"/>
    </xf>
    <xf numFmtId="0" fontId="18" fillId="11" borderId="54" applyAlignment="1">
      <alignment vertical="center"/>
    </xf>
    <xf numFmtId="0" fontId="19" fillId="7" borderId="55" applyAlignment="1">
      <alignment vertical="center"/>
    </xf>
    <xf numFmtId="0" fontId="20" fillId="7" borderId="54" applyAlignment="1">
      <alignment vertical="center"/>
    </xf>
    <xf numFmtId="0" fontId="21" fillId="12" borderId="56" applyAlignment="1">
      <alignment vertical="center"/>
    </xf>
    <xf numFmtId="0" fontId="22" fillId="0" borderId="57" applyAlignment="1">
      <alignment vertical="center"/>
    </xf>
    <xf numFmtId="0" fontId="23" fillId="0" borderId="58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6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10" borderId="0" applyAlignment="1">
      <alignment vertical="center"/>
    </xf>
    <xf numFmtId="0" fontId="28" fillId="13" borderId="0" applyAlignment="1">
      <alignment vertical="center"/>
    </xf>
    <xf numFmtId="0" fontId="27" fillId="19" borderId="0" applyAlignment="1">
      <alignment vertical="center"/>
    </xf>
    <xf numFmtId="0" fontId="27" fillId="16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19" borderId="0" applyAlignment="1">
      <alignment vertical="center"/>
    </xf>
    <xf numFmtId="0" fontId="27" fillId="23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24" borderId="0" applyAlignment="1">
      <alignment vertical="center"/>
    </xf>
    <xf numFmtId="0" fontId="27" fillId="21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1" borderId="0" applyAlignment="1">
      <alignment vertical="center"/>
    </xf>
    <xf numFmtId="0" fontId="0" fillId="25" borderId="0"/>
    <xf numFmtId="0" fontId="0" fillId="0" borderId="0" applyAlignment="1">
      <alignment vertical="center"/>
    </xf>
    <xf numFmtId="0" fontId="0" fillId="25" borderId="0"/>
    <xf numFmtId="0" fontId="0" fillId="0" borderId="0" applyAlignment="1">
      <alignment vertical="center"/>
    </xf>
    <xf numFmtId="0" fontId="0" fillId="25" borderId="0"/>
    <xf numFmtId="0" fontId="29" fillId="25" borderId="0"/>
    <xf numFmtId="0" fontId="0" fillId="14" borderId="0"/>
    <xf numFmtId="0" fontId="0" fillId="25" borderId="0"/>
    <xf numFmtId="0" fontId="0" fillId="0" borderId="0" applyAlignment="1">
      <alignment vertical="center"/>
    </xf>
    <xf numFmtId="0" fontId="0" fillId="25" borderId="0"/>
    <xf numFmtId="0" fontId="28" fillId="0" borderId="0" applyAlignment="1">
      <alignment vertical="center"/>
    </xf>
    <xf numFmtId="0" fontId="30" fillId="14" borderId="0"/>
    <xf numFmtId="0" fontId="0" fillId="0" borderId="0"/>
    <xf numFmtId="43" fontId="0" fillId="0" borderId="0"/>
  </cellStyleXfs>
  <cellXfs count="278">
    <xf numFmtId="0" fontId="0" fillId="0" borderId="0" pivotButton="0" quotePrefix="0" xfId="0"/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2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1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1" fillId="0" borderId="2" applyAlignment="1" pivotButton="0" quotePrefix="0" xfId="0">
      <alignment horizontal="left" vertical="center" wrapText="1"/>
    </xf>
    <xf numFmtId="16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0" fontId="1" fillId="0" borderId="0" pivotButton="0" quotePrefix="0" xfId="0"/>
    <xf numFmtId="164" fontId="1" fillId="0" borderId="0" pivotButton="0" quotePrefix="0" xfId="0"/>
    <xf numFmtId="0" fontId="1" fillId="0" borderId="12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0" fontId="2" fillId="0" borderId="12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1" fillId="0" borderId="20" applyAlignment="1" pivotButton="0" quotePrefix="0" xfId="0">
      <alignment horizontal="center" vertical="center" wrapText="1"/>
    </xf>
    <xf numFmtId="0" fontId="1" fillId="0" borderId="21" applyAlignment="1" pivotButton="0" quotePrefix="0" xfId="0">
      <alignment horizontal="center" vertical="center" wrapText="1"/>
    </xf>
    <xf numFmtId="0" fontId="1" fillId="0" borderId="22" applyAlignment="1" pivotButton="0" quotePrefix="0" xfId="0">
      <alignment horizontal="center" vertical="center" wrapText="1"/>
    </xf>
    <xf numFmtId="0" fontId="1" fillId="0" borderId="23" applyAlignment="1" pivotButton="0" quotePrefix="0" xfId="0">
      <alignment horizontal="center" vertical="center" wrapText="1"/>
    </xf>
    <xf numFmtId="164" fontId="1" fillId="0" borderId="24" applyAlignment="1" pivotButton="0" quotePrefix="0" xfId="0">
      <alignment horizontal="center" vertical="center" wrapText="1"/>
    </xf>
    <xf numFmtId="0" fontId="2" fillId="0" borderId="25" applyAlignment="1" pivotButton="0" quotePrefix="0" xfId="0">
      <alignment horizontal="center" vertical="center"/>
    </xf>
    <xf numFmtId="0" fontId="1" fillId="0" borderId="26" applyAlignment="1" pivotButton="0" quotePrefix="0" xfId="0">
      <alignment horizontal="center" vertical="center" wrapText="1"/>
    </xf>
    <xf numFmtId="164" fontId="1" fillId="0" borderId="27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center" vertical="center"/>
    </xf>
    <xf numFmtId="0" fontId="1" fillId="3" borderId="22" applyAlignment="1" pivotButton="0" quotePrefix="0" xfId="0">
      <alignment horizontal="center" vertical="center" wrapText="1"/>
    </xf>
    <xf numFmtId="0" fontId="1" fillId="3" borderId="24" applyAlignment="1" pivotButton="0" quotePrefix="0" xfId="0">
      <alignment horizontal="center" vertical="center" wrapText="1"/>
    </xf>
    <xf numFmtId="0" fontId="1" fillId="0" borderId="20" applyAlignment="1" pivotButton="0" quotePrefix="0" xfId="0">
      <alignment horizontal="center" vertical="top" wrapText="1"/>
    </xf>
    <xf numFmtId="164" fontId="6" fillId="4" borderId="10" applyAlignment="1" pivotButton="0" quotePrefix="0" xfId="0">
      <alignment horizontal="center" vertical="center"/>
    </xf>
    <xf numFmtId="0" fontId="0" fillId="0" borderId="20" applyAlignment="1" pivotButton="0" quotePrefix="0" xfId="0">
      <alignment horizontal="left" vertical="center"/>
    </xf>
    <xf numFmtId="165" fontId="7" fillId="3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64" fontId="7" fillId="4" borderId="21" applyAlignment="1" pivotButton="0" quotePrefix="0" xfId="0">
      <alignment horizontal="center" vertical="center"/>
    </xf>
    <xf numFmtId="166" fontId="6" fillId="0" borderId="2" applyAlignment="1" pivotButton="0" quotePrefix="0" xfId="0">
      <alignment horizontal="center" vertical="center" wrapText="1"/>
    </xf>
    <xf numFmtId="164" fontId="7" fillId="4" borderId="2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1" fillId="3" borderId="28" applyAlignment="1" pivotButton="0" quotePrefix="0" xfId="0">
      <alignment horizontal="center" vertical="center" wrapText="1"/>
    </xf>
    <xf numFmtId="0" fontId="1" fillId="3" borderId="25" applyAlignment="1" pivotButton="0" quotePrefix="0" xfId="0">
      <alignment horizontal="center" vertical="center" wrapText="1"/>
    </xf>
    <xf numFmtId="164" fontId="6" fillId="4" borderId="8" applyAlignment="1" pivotButton="0" quotePrefix="0" xfId="0">
      <alignment horizontal="center" vertical="center"/>
    </xf>
    <xf numFmtId="0" fontId="0" fillId="0" borderId="29" applyAlignment="1" pivotButton="0" quotePrefix="0" xfId="0">
      <alignment horizontal="center" vertical="center"/>
    </xf>
    <xf numFmtId="0" fontId="0" fillId="0" borderId="30" applyAlignment="1" pivotButton="0" quotePrefix="0" xfId="0">
      <alignment vertical="center"/>
    </xf>
    <xf numFmtId="165" fontId="7" fillId="4" borderId="2" applyAlignment="1" pivotButton="0" quotePrefix="0" xfId="0">
      <alignment horizontal="center" vertical="center"/>
    </xf>
    <xf numFmtId="165" fontId="6" fillId="0" borderId="2" applyAlignment="1" pivotButton="0" quotePrefix="0" xfId="0">
      <alignment horizontal="center" vertical="center"/>
    </xf>
    <xf numFmtId="0" fontId="1" fillId="0" borderId="22" applyAlignment="1" pivotButton="0" quotePrefix="0" xfId="0">
      <alignment horizontal="center" vertical="top" wrapText="1"/>
    </xf>
    <xf numFmtId="0" fontId="0" fillId="0" borderId="31" applyAlignment="1" pivotButton="0" quotePrefix="0" xfId="0">
      <alignment horizontal="center" vertical="center"/>
    </xf>
    <xf numFmtId="0" fontId="0" fillId="0" borderId="32" applyAlignment="1" pivotButton="0" quotePrefix="0" xfId="0">
      <alignment vertical="center"/>
    </xf>
    <xf numFmtId="164" fontId="6" fillId="4" borderId="33" applyAlignment="1" pivotButton="0" quotePrefix="0" xfId="0">
      <alignment horizontal="center" vertical="center"/>
    </xf>
    <xf numFmtId="0" fontId="0" fillId="5" borderId="34" applyAlignment="1" pivotButton="0" quotePrefix="0" xfId="0">
      <alignment horizontal="center" vertical="center"/>
    </xf>
    <xf numFmtId="165" fontId="0" fillId="0" borderId="0" pivotButton="0" quotePrefix="0" xfId="0"/>
    <xf numFmtId="164" fontId="6" fillId="4" borderId="21" applyAlignment="1" pivotButton="0" quotePrefix="0" xfId="0">
      <alignment horizontal="center" vertical="center"/>
    </xf>
    <xf numFmtId="0" fontId="0" fillId="0" borderId="23" applyAlignment="1" pivotButton="0" quotePrefix="0" xfId="0">
      <alignment horizontal="left" vertical="center"/>
    </xf>
    <xf numFmtId="0" fontId="1" fillId="0" borderId="23" applyAlignment="1" pivotButton="0" quotePrefix="0" xfId="0">
      <alignment horizontal="left" vertical="center" wrapText="1"/>
    </xf>
    <xf numFmtId="165" fontId="6" fillId="0" borderId="23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 wrapText="1"/>
    </xf>
    <xf numFmtId="0" fontId="0" fillId="0" borderId="35" applyAlignment="1" pivotButton="0" quotePrefix="0" xfId="0">
      <alignment horizontal="center" vertical="center"/>
    </xf>
    <xf numFmtId="0" fontId="1" fillId="3" borderId="26" applyAlignment="1" pivotButton="0" quotePrefix="0" xfId="0">
      <alignment horizontal="center" vertical="center" wrapText="1"/>
    </xf>
    <xf numFmtId="0" fontId="1" fillId="3" borderId="27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/>
    </xf>
    <xf numFmtId="164" fontId="6" fillId="4" borderId="36" applyAlignment="1" pivotButton="0" quotePrefix="0" xfId="0">
      <alignment horizontal="center" vertical="center"/>
    </xf>
    <xf numFmtId="164" fontId="7" fillId="4" borderId="20" applyAlignment="1" pivotButton="0" quotePrefix="0" xfId="0">
      <alignment horizontal="center" vertical="center"/>
    </xf>
    <xf numFmtId="164" fontId="7" fillId="4" borderId="23" applyAlignment="1" pivotButton="0" quotePrefix="0" xfId="0">
      <alignment horizontal="center" vertical="center"/>
    </xf>
    <xf numFmtId="0" fontId="1" fillId="0" borderId="24" applyAlignment="1" pivotButton="0" quotePrefix="0" xfId="0">
      <alignment horizontal="center" vertical="center" wrapText="1"/>
    </xf>
    <xf numFmtId="0" fontId="1" fillId="0" borderId="37" applyAlignment="1" pivotButton="0" quotePrefix="0" xfId="61">
      <alignment horizontal="center" vertical="center" wrapText="1"/>
    </xf>
    <xf numFmtId="0" fontId="1" fillId="0" borderId="37" applyAlignment="1" pivotButton="0" quotePrefix="0" xfId="61">
      <alignment horizontal="left" vertical="center" wrapText="1"/>
    </xf>
    <xf numFmtId="165" fontId="8" fillId="0" borderId="37" applyAlignment="1" pivotButton="0" quotePrefix="0" xfId="0">
      <alignment horizontal="center" vertical="center" wrapText="1"/>
    </xf>
    <xf numFmtId="0" fontId="1" fillId="6" borderId="20" applyAlignment="1" pivotButton="0" quotePrefix="0" xfId="0">
      <alignment horizontal="center" vertical="center"/>
    </xf>
    <xf numFmtId="0" fontId="1" fillId="0" borderId="23" applyAlignment="1" pivotButton="0" quotePrefix="0" xfId="0">
      <alignment vertical="center"/>
    </xf>
    <xf numFmtId="4" fontId="9" fillId="0" borderId="38" applyAlignment="1" pivotButton="0" quotePrefix="0" xfId="0">
      <alignment horizontal="center" vertical="center" wrapText="1"/>
    </xf>
    <xf numFmtId="0" fontId="1" fillId="6" borderId="23" applyAlignment="1" pivotButton="0" quotePrefix="0" xfId="0">
      <alignment horizontal="center" vertical="center"/>
    </xf>
    <xf numFmtId="0" fontId="1" fillId="0" borderId="23" applyAlignment="1" pivotButton="0" quotePrefix="0" xfId="0">
      <alignment horizontal="left" vertical="center"/>
    </xf>
    <xf numFmtId="4" fontId="9" fillId="7" borderId="38" applyAlignment="1" pivotButton="0" quotePrefix="0" xfId="0">
      <alignment horizontal="center" vertical="center" wrapText="1"/>
    </xf>
    <xf numFmtId="164" fontId="6" fillId="0" borderId="2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 wrapText="1"/>
    </xf>
    <xf numFmtId="0" fontId="1" fillId="0" borderId="25" applyAlignment="1" pivotButton="0" quotePrefix="0" xfId="0">
      <alignment horizontal="center" vertical="center" wrapText="1"/>
    </xf>
    <xf numFmtId="0" fontId="1" fillId="0" borderId="2" applyAlignment="1" pivotButton="0" quotePrefix="0" xfId="61">
      <alignment horizontal="center" vertical="center" wrapText="1"/>
    </xf>
    <xf numFmtId="49" fontId="1" fillId="0" borderId="2" applyAlignment="1" pivotButton="0" quotePrefix="0" xfId="61">
      <alignment horizontal="left" vertical="center" wrapText="1"/>
    </xf>
    <xf numFmtId="165" fontId="8" fillId="0" borderId="2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/>
    </xf>
    <xf numFmtId="0" fontId="0" fillId="5" borderId="25" applyAlignment="1" pivotButton="0" quotePrefix="0" xfId="0">
      <alignment horizontal="center" vertical="center" wrapText="1"/>
    </xf>
    <xf numFmtId="165" fontId="6" fillId="0" borderId="2" applyAlignment="1" pivotButton="0" quotePrefix="0" xfId="0">
      <alignment horizontal="center" vertical="center"/>
    </xf>
    <xf numFmtId="165" fontId="8" fillId="0" borderId="2" applyAlignment="1" pivotButton="0" quotePrefix="0" xfId="0">
      <alignment horizontal="center" vertical="center"/>
    </xf>
    <xf numFmtId="0" fontId="1" fillId="0" borderId="39" applyAlignment="1" pivotButton="0" quotePrefix="0" xfId="0">
      <alignment horizontal="left" vertical="center"/>
    </xf>
    <xf numFmtId="0" fontId="0" fillId="6" borderId="20" applyAlignment="1" pivotButton="0" quotePrefix="0" xfId="0">
      <alignment horizontal="center" vertical="center"/>
    </xf>
    <xf numFmtId="0" fontId="1" fillId="0" borderId="40" applyAlignment="1" pivotButton="0" quotePrefix="0" xfId="0">
      <alignment horizontal="left" vertical="center"/>
    </xf>
    <xf numFmtId="0" fontId="0" fillId="6" borderId="2" applyAlignment="1" pivotButton="0" quotePrefix="0" xfId="0">
      <alignment horizontal="center" vertical="center"/>
    </xf>
    <xf numFmtId="0" fontId="0" fillId="5" borderId="27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0" borderId="41" applyAlignment="1" pivotButton="0" quotePrefix="0" xfId="0">
      <alignment horizontal="left" vertical="center"/>
    </xf>
    <xf numFmtId="0" fontId="0" fillId="3" borderId="23" applyAlignment="1" pivotButton="0" quotePrefix="0" xfId="0">
      <alignment vertical="center"/>
    </xf>
    <xf numFmtId="0" fontId="0" fillId="8" borderId="20" applyAlignment="1" pivotButton="0" quotePrefix="0" xfId="0">
      <alignment horizontal="center" vertical="center"/>
    </xf>
    <xf numFmtId="0" fontId="0" fillId="0" borderId="23" applyAlignment="1" pivotButton="0" quotePrefix="0" xfId="0">
      <alignment horizontal="left" vertical="center"/>
    </xf>
    <xf numFmtId="165" fontId="6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/>
    </xf>
    <xf numFmtId="164" fontId="6" fillId="0" borderId="24" applyAlignment="1" pivotButton="0" quotePrefix="0" xfId="0">
      <alignment horizontal="center" vertical="center"/>
    </xf>
    <xf numFmtId="0" fontId="1" fillId="0" borderId="23" applyAlignment="1" pivotButton="0" quotePrefix="0" xfId="61">
      <alignment horizontal="center" vertical="center" wrapText="1"/>
    </xf>
    <xf numFmtId="0" fontId="1" fillId="0" borderId="2" applyAlignment="1" pivotButton="0" quotePrefix="0" xfId="61">
      <alignment horizontal="left" vertical="center" wrapText="1"/>
    </xf>
    <xf numFmtId="0" fontId="1" fillId="5" borderId="12" applyAlignment="1" pivotButton="0" quotePrefix="0" xfId="0">
      <alignment horizontal="center" vertical="center"/>
    </xf>
    <xf numFmtId="0" fontId="1" fillId="0" borderId="42" applyAlignment="1" pivotButton="0" quotePrefix="0" xfId="0">
      <alignment horizontal="left" vertical="center"/>
    </xf>
    <xf numFmtId="4" fontId="9" fillId="0" borderId="43" applyAlignment="1" pivotButton="0" quotePrefix="0" xfId="0">
      <alignment horizontal="center" vertical="center" wrapText="1"/>
    </xf>
    <xf numFmtId="0" fontId="1" fillId="5" borderId="14" pivotButton="0" quotePrefix="0" xfId="0"/>
    <xf numFmtId="0" fontId="1" fillId="0" borderId="14" pivotButton="0" quotePrefix="0" xfId="0"/>
    <xf numFmtId="4" fontId="9" fillId="7" borderId="43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/>
    </xf>
    <xf numFmtId="0" fontId="1" fillId="5" borderId="2" pivotButton="0" quotePrefix="0" xfId="0"/>
    <xf numFmtId="0" fontId="1" fillId="0" borderId="2" pivotButton="0" quotePrefix="0" xfId="0"/>
    <xf numFmtId="0" fontId="6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0" fillId="5" borderId="0" pivotButton="0" quotePrefix="0" xfId="0"/>
    <xf numFmtId="0" fontId="0" fillId="0" borderId="2" applyAlignment="1" pivotButton="0" quotePrefix="0" xfId="0">
      <alignment wrapText="1"/>
    </xf>
    <xf numFmtId="0" fontId="1" fillId="0" borderId="2" pivotButton="0" quotePrefix="0" xfId="0"/>
    <xf numFmtId="0" fontId="0" fillId="5" borderId="20" applyAlignment="1" pivotButton="0" quotePrefix="0" xfId="0">
      <alignment horizontal="center" vertical="center"/>
    </xf>
    <xf numFmtId="0" fontId="0" fillId="5" borderId="2" pivotButton="0" quotePrefix="0" xfId="0"/>
    <xf numFmtId="0" fontId="0" fillId="0" borderId="2" pivotButton="0" quotePrefix="0" xfId="0"/>
    <xf numFmtId="0" fontId="0" fillId="3" borderId="23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3" pivotButton="0" quotePrefix="0" xfId="0"/>
    <xf numFmtId="0" fontId="1" fillId="0" borderId="27" applyAlignment="1" pivotButton="0" quotePrefix="0" xfId="0">
      <alignment horizontal="center" vertical="center" wrapText="1"/>
    </xf>
    <xf numFmtId="0" fontId="1" fillId="0" borderId="23" applyAlignment="1" pivotButton="0" quotePrefix="0" xfId="52">
      <alignment horizontal="center" vertical="center" wrapText="1"/>
    </xf>
    <xf numFmtId="0" fontId="1" fillId="0" borderId="2" applyAlignment="1" pivotButton="0" quotePrefix="0" xfId="52">
      <alignment horizontal="left" vertical="center" wrapText="1"/>
    </xf>
    <xf numFmtId="0" fontId="1" fillId="0" borderId="41" applyAlignment="1" pivotButton="0" quotePrefix="0" xfId="59">
      <alignment horizontal="center" vertical="center" wrapText="1"/>
    </xf>
    <xf numFmtId="0" fontId="1" fillId="0" borderId="37" applyAlignment="1" pivotButton="0" quotePrefix="0" xfId="59">
      <alignment horizontal="left" vertical="center" wrapText="1"/>
    </xf>
    <xf numFmtId="0" fontId="1" fillId="0" borderId="37" applyAlignment="1" pivotButton="0" quotePrefix="0" xfId="59">
      <alignment horizontal="center" vertical="center" wrapText="1"/>
    </xf>
    <xf numFmtId="0" fontId="1" fillId="0" borderId="23" applyAlignment="1" pivotButton="0" quotePrefix="0" xfId="59">
      <alignment horizontal="center" vertical="center" wrapText="1"/>
    </xf>
    <xf numFmtId="0" fontId="1" fillId="0" borderId="2" applyAlignment="1" pivotButton="0" quotePrefix="0" xfId="59">
      <alignment horizontal="left" vertical="center" wrapText="1"/>
    </xf>
    <xf numFmtId="0" fontId="1" fillId="0" borderId="2" applyAlignment="1" pivotButton="0" quotePrefix="0" xfId="59">
      <alignment horizontal="center" vertical="center" wrapText="1"/>
    </xf>
    <xf numFmtId="164" fontId="0" fillId="0" borderId="21" pivotButton="0" quotePrefix="0" xfId="0"/>
    <xf numFmtId="0" fontId="0" fillId="0" borderId="22" pivotButton="0" quotePrefix="0" xfId="0"/>
    <xf numFmtId="0" fontId="0" fillId="0" borderId="39" pivotButton="0" quotePrefix="0" xfId="0"/>
    <xf numFmtId="0" fontId="6" fillId="0" borderId="7" applyAlignment="1" pivotButton="0" quotePrefix="0" xfId="0">
      <alignment horizontal="center" vertical="center"/>
    </xf>
    <xf numFmtId="0" fontId="0" fillId="0" borderId="7" pivotButton="0" quotePrefix="0" xfId="0"/>
    <xf numFmtId="164" fontId="0" fillId="0" borderId="24" pivotButton="0" quotePrefix="0" xfId="0"/>
    <xf numFmtId="165" fontId="8" fillId="4" borderId="2" applyAlignment="1" pivotButton="0" quotePrefix="0" xfId="0">
      <alignment horizontal="center" vertical="center" wrapText="1"/>
    </xf>
    <xf numFmtId="0" fontId="1" fillId="9" borderId="12" applyAlignment="1" pivotButton="0" quotePrefix="0" xfId="0">
      <alignment vertical="center"/>
    </xf>
    <xf numFmtId="0" fontId="1" fillId="0" borderId="42" applyAlignment="1" pivotButton="0" quotePrefix="0" xfId="0">
      <alignment vertical="center"/>
    </xf>
    <xf numFmtId="0" fontId="8" fillId="0" borderId="14" applyAlignment="1" pivotButton="0" quotePrefix="0" xfId="0">
      <alignment horizontal="center" vertical="center"/>
    </xf>
    <xf numFmtId="0" fontId="1" fillId="9" borderId="14" applyAlignment="1" pivotButton="0" quotePrefix="0" xfId="0">
      <alignment vertical="center"/>
    </xf>
    <xf numFmtId="0" fontId="1" fillId="0" borderId="14" applyAlignment="1" pivotButton="0" quotePrefix="0" xfId="0">
      <alignment vertical="center"/>
    </xf>
    <xf numFmtId="0" fontId="0" fillId="0" borderId="14" pivotButton="0" quotePrefix="0" xfId="0"/>
    <xf numFmtId="164" fontId="0" fillId="0" borderId="13" pivotButton="0" quotePrefix="0" xfId="0"/>
    <xf numFmtId="0" fontId="1" fillId="9" borderId="20" applyAlignment="1" pivotButton="0" quotePrefix="0" xfId="0">
      <alignment vertical="center"/>
    </xf>
    <xf numFmtId="0" fontId="8" fillId="0" borderId="2" applyAlignment="1" pivotButton="0" quotePrefix="0" xfId="0">
      <alignment horizontal="center" vertical="center"/>
    </xf>
    <xf numFmtId="0" fontId="1" fillId="9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1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top" wrapText="1"/>
    </xf>
    <xf numFmtId="0" fontId="0" fillId="9" borderId="20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0" fillId="9" borderId="2" applyAlignment="1" pivotButton="0" quotePrefix="0" xfId="0">
      <alignment vertical="center"/>
    </xf>
    <xf numFmtId="0" fontId="0" fillId="9" borderId="44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0" fontId="6" fillId="0" borderId="46" applyAlignment="1" pivotButton="0" quotePrefix="0" xfId="0">
      <alignment horizontal="center" vertical="center"/>
    </xf>
    <xf numFmtId="0" fontId="0" fillId="9" borderId="46" applyAlignment="1" pivotButton="0" quotePrefix="0" xfId="0">
      <alignment vertical="center"/>
    </xf>
    <xf numFmtId="0" fontId="0" fillId="0" borderId="46" applyAlignment="1" pivotButton="0" quotePrefix="0" xfId="0">
      <alignment vertical="center"/>
    </xf>
    <xf numFmtId="0" fontId="0" fillId="0" borderId="46" pivotButton="0" quotePrefix="0" xfId="0"/>
    <xf numFmtId="164" fontId="0" fillId="0" borderId="47" pivotButton="0" quotePrefix="0" xfId="0"/>
    <xf numFmtId="0" fontId="1" fillId="5" borderId="26" applyAlignment="1" pivotButton="0" quotePrefix="0" xfId="0">
      <alignment horizontal="center" vertical="center"/>
    </xf>
    <xf numFmtId="0" fontId="1" fillId="0" borderId="26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1" fillId="5" borderId="37" applyAlignment="1" pivotButton="0" quotePrefix="0" xfId="0">
      <alignment horizontal="center" vertical="center"/>
    </xf>
    <xf numFmtId="0" fontId="1" fillId="0" borderId="37" applyAlignment="1" pivotButton="0" quotePrefix="0" xfId="0">
      <alignment horizontal="left" vertical="center"/>
    </xf>
    <xf numFmtId="0" fontId="0" fillId="0" borderId="37" applyAlignment="1" pivotButton="0" quotePrefix="0" xfId="0">
      <alignment horizontal="center" vertical="center"/>
    </xf>
    <xf numFmtId="164" fontId="0" fillId="0" borderId="27" pivotButton="0" quotePrefix="0" xfId="0"/>
    <xf numFmtId="0" fontId="1" fillId="0" borderId="20" applyAlignment="1" pivotButton="0" quotePrefix="0" xfId="0">
      <alignment horizontal="left" vertical="center"/>
    </xf>
    <xf numFmtId="0" fontId="1" fillId="5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left" vertical="center"/>
    </xf>
    <xf numFmtId="0" fontId="1" fillId="0" borderId="23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center" vertical="center" wrapText="1"/>
    </xf>
    <xf numFmtId="0" fontId="1" fillId="3" borderId="48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42" pivotButton="0" quotePrefix="0" xfId="0"/>
    <xf numFmtId="0" fontId="6" fillId="0" borderId="14" applyAlignment="1" pivotButton="0" quotePrefix="0" xfId="0">
      <alignment horizontal="center" vertical="center"/>
    </xf>
    <xf numFmtId="0" fontId="1" fillId="3" borderId="33" applyAlignment="1" pivotButton="0" quotePrefix="0" xfId="0">
      <alignment horizontal="center" vertical="center" wrapText="1"/>
    </xf>
    <xf numFmtId="0" fontId="1" fillId="3" borderId="4" applyAlignment="1" pivotButton="0" quotePrefix="0" xfId="0">
      <alignment horizontal="center" vertical="center" wrapText="1"/>
    </xf>
    <xf numFmtId="0" fontId="1" fillId="0" borderId="33" applyAlignment="1" pivotButton="0" quotePrefix="0" xfId="0">
      <alignment horizontal="center" vertical="center" wrapText="1"/>
    </xf>
    <xf numFmtId="165" fontId="8" fillId="0" borderId="2" applyAlignment="1" pivotButton="0" quotePrefix="0" xfId="0">
      <alignment horizontal="center" vertical="center" wrapText="1"/>
    </xf>
    <xf numFmtId="0" fontId="1" fillId="0" borderId="48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1" fillId="0" borderId="26" applyAlignment="1" pivotButton="0" quotePrefix="0" xfId="0">
      <alignment vertical="center"/>
    </xf>
    <xf numFmtId="0" fontId="1" fillId="0" borderId="37" applyAlignment="1" pivotButton="0" quotePrefix="0" xfId="0">
      <alignment vertical="center"/>
    </xf>
    <xf numFmtId="0" fontId="0" fillId="0" borderId="37" pivotButton="0" quotePrefix="0" xfId="0"/>
    <xf numFmtId="0" fontId="1" fillId="0" borderId="7" applyAlignment="1" pivotButton="0" quotePrefix="0" xfId="0">
      <alignment horizontal="left" vertical="center" wrapText="1"/>
    </xf>
    <xf numFmtId="0" fontId="1" fillId="0" borderId="7" applyAlignment="1" pivotButton="0" quotePrefix="0" xfId="0">
      <alignment horizontal="center" vertical="center" wrapText="1"/>
    </xf>
    <xf numFmtId="165" fontId="8" fillId="0" borderId="7" applyAlignment="1" pivotButton="0" quotePrefix="0" xfId="0">
      <alignment horizontal="center" vertical="center" wrapText="1"/>
    </xf>
    <xf numFmtId="0" fontId="0" fillId="0" borderId="47" pivotButton="0" quotePrefix="0" xfId="0"/>
    <xf numFmtId="0" fontId="1" fillId="3" borderId="2" applyAlignment="1" pivotButton="0" quotePrefix="0" xfId="0">
      <alignment horizontal="center" vertical="center" wrapText="1"/>
    </xf>
    <xf numFmtId="0" fontId="1" fillId="3" borderId="2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" fillId="5" borderId="12" applyAlignment="1" pivotButton="0" quotePrefix="0" xfId="0">
      <alignment horizontal="center" vertical="center" wrapText="1"/>
    </xf>
    <xf numFmtId="0" fontId="1" fillId="5" borderId="14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vertical="center"/>
    </xf>
    <xf numFmtId="0" fontId="1" fillId="3" borderId="47" applyAlignment="1" pivotButton="0" quotePrefix="0" xfId="0">
      <alignment horizontal="center" vertical="center" wrapText="1"/>
    </xf>
    <xf numFmtId="0" fontId="1" fillId="0" borderId="45" applyAlignment="1" pivotButton="0" quotePrefix="0" xfId="0">
      <alignment horizontal="center" vertical="center" wrapText="1"/>
    </xf>
    <xf numFmtId="0" fontId="1" fillId="0" borderId="46" applyAlignment="1" pivotButton="0" quotePrefix="0" xfId="0">
      <alignment horizontal="center" vertical="center" wrapText="1"/>
    </xf>
    <xf numFmtId="0" fontId="8" fillId="0" borderId="49" applyAlignment="1" pivotButton="0" quotePrefix="0" xfId="0">
      <alignment horizontal="center" vertical="center" wrapText="1"/>
    </xf>
    <xf numFmtId="0" fontId="1" fillId="5" borderId="44" applyAlignment="1" pivotButton="0" quotePrefix="0" xfId="0">
      <alignment horizontal="center" vertical="center" wrapText="1"/>
    </xf>
    <xf numFmtId="0" fontId="1" fillId="5" borderId="46" applyAlignment="1" pivotButton="0" quotePrefix="0" xfId="0">
      <alignment horizontal="center" vertical="center" wrapText="1"/>
    </xf>
    <xf numFmtId="0" fontId="0" fillId="0" borderId="46" applyAlignment="1" pivotButton="0" quotePrefix="0" xfId="0">
      <alignment horizontal="center" vertical="center"/>
    </xf>
    <xf numFmtId="0" fontId="0" fillId="0" borderId="46" applyAlignment="1" pivotButton="0" quotePrefix="0" xfId="0">
      <alignment horizontal="center"/>
    </xf>
    <xf numFmtId="0" fontId="1" fillId="0" borderId="0" applyAlignment="1" pivotButton="0" quotePrefix="0" xfId="0">
      <alignment horizontal="justify" vertical="top" wrapText="1"/>
    </xf>
    <xf numFmtId="164" fontId="0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0" fillId="0" borderId="17" pivotButton="0" quotePrefix="0" xfId="0"/>
    <xf numFmtId="0" fontId="2" fillId="0" borderId="61" applyAlignment="1" pivotButton="0" quotePrefix="0" xfId="0">
      <alignment horizontal="center" vertical="center"/>
    </xf>
    <xf numFmtId="0" fontId="0" fillId="0" borderId="18" pivotButton="0" quotePrefix="0" xfId="0"/>
    <xf numFmtId="0" fontId="2" fillId="0" borderId="13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5" pivotButton="0" quotePrefix="0" xfId="0"/>
    <xf numFmtId="0" fontId="0" fillId="0" borderId="64" pivotButton="0" quotePrefix="0" xfId="0"/>
    <xf numFmtId="164" fontId="1" fillId="0" borderId="21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1" fillId="3" borderId="20" applyAlignment="1" pivotButton="0" quotePrefix="0" xfId="0">
      <alignment horizontal="center" vertical="center" wrapText="1"/>
    </xf>
    <xf numFmtId="164" fontId="6" fillId="4" borderId="10" applyAlignment="1" pivotButton="0" quotePrefix="0" xfId="0">
      <alignment horizontal="center" vertical="center"/>
    </xf>
    <xf numFmtId="165" fontId="7" fillId="3" borderId="2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66" fontId="6" fillId="0" borderId="2" applyAlignment="1" pivotButton="0" quotePrefix="0" xfId="0">
      <alignment horizontal="center" vertical="center" wrapText="1"/>
    </xf>
    <xf numFmtId="164" fontId="7" fillId="4" borderId="2" applyAlignment="1" pivotButton="0" quotePrefix="0" xfId="0">
      <alignment horizontal="center" vertical="center"/>
    </xf>
    <xf numFmtId="164" fontId="6" fillId="4" borderId="8" applyAlignment="1" pivotButton="0" quotePrefix="0" xfId="0">
      <alignment horizontal="center" vertical="center"/>
    </xf>
    <xf numFmtId="165" fontId="7" fillId="4" borderId="2" applyAlignment="1" pivotButton="0" quotePrefix="0" xfId="0">
      <alignment horizontal="center" vertical="center"/>
    </xf>
    <xf numFmtId="165" fontId="6" fillId="0" borderId="2" applyAlignment="1" pivotButton="0" quotePrefix="0" xfId="0">
      <alignment horizontal="center" vertical="center"/>
    </xf>
    <xf numFmtId="164" fontId="6" fillId="4" borderId="33" applyAlignment="1" pivotButton="0" quotePrefix="0" xfId="0">
      <alignment horizontal="center" vertical="center"/>
    </xf>
    <xf numFmtId="165" fontId="0" fillId="0" borderId="0" pivotButton="0" quotePrefix="0" xfId="0"/>
    <xf numFmtId="164" fontId="6" fillId="4" borderId="21" applyAlignment="1" pivotButton="0" quotePrefix="0" xfId="0">
      <alignment horizontal="center" vertical="center"/>
    </xf>
    <xf numFmtId="165" fontId="6" fillId="0" borderId="23" applyAlignment="1" pivotButton="0" quotePrefix="0" xfId="0">
      <alignment horizontal="center" vertical="center"/>
    </xf>
    <xf numFmtId="164" fontId="6" fillId="4" borderId="36" applyAlignment="1" pivotButton="0" quotePrefix="0" xfId="0">
      <alignment horizontal="center" vertical="center"/>
    </xf>
    <xf numFmtId="164" fontId="7" fillId="4" borderId="20" applyAlignment="1" pivotButton="0" quotePrefix="0" xfId="0">
      <alignment horizontal="center" vertical="center"/>
    </xf>
    <xf numFmtId="164" fontId="7" fillId="4" borderId="23" applyAlignment="1" pivotButton="0" quotePrefix="0" xfId="0">
      <alignment horizontal="center" vertical="center"/>
    </xf>
    <xf numFmtId="165" fontId="8" fillId="0" borderId="37" applyAlignment="1" pivotButton="0" quotePrefix="0" xfId="0">
      <alignment horizontal="center" vertical="center" wrapText="1"/>
    </xf>
    <xf numFmtId="164" fontId="6" fillId="0" borderId="21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 wrapText="1"/>
    </xf>
    <xf numFmtId="165" fontId="8" fillId="0" borderId="2" applyAlignment="1" pivotButton="0" quotePrefix="0" xfId="0">
      <alignment horizontal="center" vertical="center" wrapText="1"/>
    </xf>
    <xf numFmtId="165" fontId="8" fillId="0" borderId="2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41" pivotButton="0" quotePrefix="0" xfId="0"/>
    <xf numFmtId="165" fontId="6" fillId="0" borderId="7" applyAlignment="1" pivotButton="0" quotePrefix="0" xfId="0">
      <alignment horizontal="center" vertical="center"/>
    </xf>
    <xf numFmtId="164" fontId="6" fillId="0" borderId="24" applyAlignment="1" pivotButton="0" quotePrefix="0" xfId="0">
      <alignment horizontal="center" vertical="center"/>
    </xf>
    <xf numFmtId="164" fontId="0" fillId="0" borderId="21" pivotButton="0" quotePrefix="0" xfId="0"/>
    <xf numFmtId="164" fontId="0" fillId="0" borderId="24" pivotButton="0" quotePrefix="0" xfId="0"/>
    <xf numFmtId="165" fontId="8" fillId="4" borderId="2" applyAlignment="1" pivotButton="0" quotePrefix="0" xfId="0">
      <alignment horizontal="center" vertical="center" wrapText="1"/>
    </xf>
    <xf numFmtId="164" fontId="0" fillId="0" borderId="13" pivotButton="0" quotePrefix="0" xfId="0"/>
    <xf numFmtId="164" fontId="0" fillId="0" borderId="47" pivotButton="0" quotePrefix="0" xfId="0"/>
    <xf numFmtId="164" fontId="0" fillId="0" borderId="27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4" pivotButton="0" quotePrefix="0" xfId="0"/>
    <xf numFmtId="0" fontId="1" fillId="0" borderId="1" applyAlignment="1" pivotButton="0" quotePrefix="0" xfId="0">
      <alignment horizontal="center" vertical="center" wrapText="1"/>
    </xf>
    <xf numFmtId="165" fontId="8" fillId="0" borderId="7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9" pivotButton="0" quotePrefix="0" xfId="0"/>
    <xf numFmtId="0" fontId="0" fillId="0" borderId="11" pivotButton="0" quotePrefix="0" xfId="0"/>
  </cellXfs>
  <cellStyles count="6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@ET_Style?CF_Style_4" xfId="49"/>
    <cellStyle name="常规_2010109134835250_3. 2015年报表归属" xfId="50"/>
    <cellStyle name="@ET_Style?CF_Style_7" xfId="51"/>
    <cellStyle name="常规 4_3. 2015年报表归属" xfId="52"/>
    <cellStyle name="@ET_Style?CF_Style_6" xfId="53"/>
    <cellStyle name="@ET_Style?CF_Style_2" xfId="54"/>
    <cellStyle name="@ET_Style?CF_Style_3" xfId="55"/>
    <cellStyle name="@ET_Style?CF_Style_8" xfId="56"/>
    <cellStyle name="常规_2010109134837312" xfId="57"/>
    <cellStyle name="@ET_Style?CF_Style_5" xfId="58"/>
    <cellStyle name="常规 2_3. 2015年报表归属" xfId="59"/>
    <cellStyle name="@ET_Style?CF_Style_1" xfId="60"/>
    <cellStyle name="常规_区域单家报表归属" xfId="61"/>
    <cellStyle name="千位分隔 2" xfId="62"/>
  </cellStyles>
  <dxfs count="2">
    <dxf>
      <font>
        <b val="1"/>
      </font>
    </dxf>
    <dxf>
      <fill>
        <patternFill patternType="solid"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THTF</author>
  </authors>
  <commentList>
    <comment ref="Q7" authorId="0" shapeId="0">
      <text>
        <t xml:space="preserve">THTF:
个体工商户由单位调整至个人部分的本金；
</t>
      </text>
    </comment>
    <comment ref="Q8" authorId="0" shapeId="0">
      <text>
        <t>个体工商户由单位调整至个人部分的应付利息；</t>
      </text>
    </comment>
    <comment ref="Q9" authorId="0" shapeId="0">
      <text>
        <t>THTF:
久悬户归属于个人存款的部分；为历史值（个人部分）＋久悬不动户余额（22410401）</t>
      </text>
    </comment>
    <comment ref="Q10" authorId="0" shapeId="0">
      <text>
        <t xml:space="preserve">THTF:
THTF:
久悬户归属于单位存款的部分；为历史值（单位部分）＋久悬不动户余额（22410402）+久悬未取款收入（630108）-久悬未取款支出（671106）
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3"/>
  <sheetViews>
    <sheetView tabSelected="1" topLeftCell="A3" zoomScale="85" zoomScaleNormal="85" zoomScaleSheetLayoutView="60" workbookViewId="0">
      <pane xSplit="2" topLeftCell="C1" activePane="topRight" state="frozen"/>
      <selection activeCell="A1" sqref="A1"/>
      <selection pane="topRight" activeCell="I7" sqref="I7"/>
    </sheetView>
  </sheetViews>
  <sheetFormatPr baseColWidth="8" defaultColWidth="9" defaultRowHeight="17.6"/>
  <cols>
    <col width="4.69642857142857" customWidth="1" style="1" min="1" max="1"/>
    <col width="21.7589285714286" customWidth="1" style="1" min="2" max="2"/>
    <col width="13.375" customWidth="1" style="1" min="3" max="3"/>
    <col width="31.6160714285714" customWidth="1" style="1" min="4" max="4"/>
    <col width="18.5357142857143" customWidth="1" style="11" min="5" max="5"/>
    <col width="25.8839285714286" customWidth="1" style="1" min="6" max="6"/>
    <col width="9.5" customWidth="1" style="1" min="7" max="7"/>
    <col width="30.7321428571429" customWidth="1" style="1" min="8" max="8"/>
    <col width="18.9017857142857" customWidth="1" style="1" min="9" max="9"/>
    <col width="11.1607142857143" customWidth="1" style="1" min="10" max="10"/>
    <col width="35.1517857142857" customWidth="1" style="1" min="11" max="11"/>
    <col width="16.5" customWidth="1" style="1" min="12" max="12"/>
    <col width="18.9017857142857" customWidth="1" style="227" min="13" max="13"/>
    <col width="23.2321428571429" customWidth="1" style="1" min="14" max="14"/>
    <col width="21.6160714285714" customWidth="1" style="1" min="15" max="15"/>
    <col width="17.2946428571429" customWidth="1" style="1" min="16" max="16"/>
    <col width="34.1160714285714" customWidth="1" style="1" min="17" max="17"/>
    <col width="9.09821428571429" customWidth="1" style="1" min="18" max="18"/>
    <col width="15.1428571428571" customWidth="1" style="1" min="19" max="19"/>
    <col width="9.09821428571429" customWidth="1" style="1" min="20" max="254"/>
    <col width="9.09821428571429" customWidth="1" style="1" min="255" max="255"/>
  </cols>
  <sheetData>
    <row r="1" ht="18" customHeight="1" s="1">
      <c r="A1" s="19" t="inlineStr">
        <is>
          <t>附5</t>
        </is>
      </c>
      <c r="I1" t="inlineStr">
        <is>
          <t xml:space="preserve"> </t>
        </is>
      </c>
      <c r="J1" t="inlineStr">
        <is>
          <t xml:space="preserve"> </t>
        </is>
      </c>
    </row>
    <row r="2" ht="27" customHeight="1" s="1">
      <c r="A2" s="20" t="inlineStr">
        <is>
          <t>保费基数核对表</t>
        </is>
      </c>
    </row>
    <row r="3" ht="24" customHeight="1" s="1">
      <c r="A3" s="21" t="inlineStr">
        <is>
          <t>投保机构：</t>
        </is>
      </c>
      <c r="D3" s="22" t="n"/>
      <c r="E3" s="23" t="n"/>
      <c r="F3" s="22" t="n"/>
      <c r="G3" s="24" t="inlineStr">
        <is>
          <t>单位：元</t>
        </is>
      </c>
      <c r="H3" s="24" t="n"/>
      <c r="I3" s="24" t="n"/>
      <c r="J3" s="24" t="n"/>
      <c r="K3" s="24" t="n"/>
      <c r="L3" s="24" t="n"/>
      <c r="M3" s="228" t="n"/>
      <c r="N3" s="22" t="n"/>
      <c r="O3" s="22" t="n"/>
      <c r="P3" s="22" t="n"/>
      <c r="Q3" s="22" t="n"/>
    </row>
    <row r="4" ht="37" customHeight="1" s="1">
      <c r="A4" s="26" t="inlineStr">
        <is>
          <t>顺序</t>
        </is>
      </c>
      <c r="B4" s="27" t="inlineStr">
        <is>
          <t>行列名称</t>
        </is>
      </c>
      <c r="C4" s="28" t="inlineStr">
        <is>
          <t>存款归属核对</t>
        </is>
      </c>
      <c r="D4" s="229" t="n"/>
      <c r="E4" s="229" t="n"/>
      <c r="F4" s="193" t="n"/>
      <c r="G4" s="230" t="inlineStr">
        <is>
          <t>会计科目核对</t>
        </is>
      </c>
      <c r="H4" s="229" t="n"/>
      <c r="I4" s="229" t="n"/>
      <c r="J4" s="229" t="n"/>
      <c r="K4" s="229" t="n"/>
      <c r="L4" s="229" t="n"/>
      <c r="M4" s="231" t="n"/>
      <c r="N4" s="28" t="inlineStr">
        <is>
          <t>被保险存款申报表（IRP001）</t>
        </is>
      </c>
      <c r="O4" s="229" t="n"/>
      <c r="P4" s="193" t="n"/>
      <c r="Q4" s="232" t="inlineStr">
        <is>
          <t>差额说明</t>
        </is>
      </c>
    </row>
    <row r="5" ht="44" customHeight="1" s="1">
      <c r="A5" s="233" t="n"/>
      <c r="B5" s="234" t="n"/>
      <c r="C5" s="35" t="inlineStr">
        <is>
          <t>子项代码</t>
        </is>
      </c>
      <c r="D5" s="190" t="inlineStr">
        <is>
          <t>子项名称</t>
        </is>
      </c>
      <c r="E5" s="190" t="inlineStr">
        <is>
          <t>符号</t>
        </is>
      </c>
      <c r="F5" s="36" t="inlineStr">
        <is>
          <t>根据金融机构资产负债项目月报表（A1411、A2411）</t>
        </is>
      </c>
      <c r="G5" s="188" t="inlineStr">
        <is>
          <t>本金</t>
        </is>
      </c>
      <c r="H5" s="235" t="n"/>
      <c r="I5" s="138" t="n"/>
      <c r="J5" s="190" t="inlineStr">
        <is>
          <t>利息</t>
        </is>
      </c>
      <c r="K5" s="235" t="n"/>
      <c r="L5" s="138" t="n"/>
      <c r="M5" s="236" t="inlineStr">
        <is>
          <t>合计</t>
        </is>
      </c>
      <c r="N5" s="35" t="inlineStr">
        <is>
          <t>本金</t>
        </is>
      </c>
      <c r="O5" s="190" t="inlineStr">
        <is>
          <t>利息</t>
        </is>
      </c>
      <c r="P5" s="190" t="inlineStr">
        <is>
          <t>合计</t>
        </is>
      </c>
      <c r="Q5" s="234" t="n"/>
    </row>
    <row r="6" ht="37" customHeight="1" s="1">
      <c r="A6" s="237" t="n"/>
      <c r="B6" s="238" t="n"/>
      <c r="C6" s="237" t="n"/>
      <c r="D6" s="204" t="n"/>
      <c r="E6" s="204" t="n"/>
      <c r="F6" s="36" t="inlineStr">
        <is>
          <t>本金</t>
        </is>
      </c>
      <c r="G6" s="188" t="inlineStr">
        <is>
          <t>代码</t>
        </is>
      </c>
      <c r="H6" s="190" t="inlineStr">
        <is>
          <t>科目名称</t>
        </is>
      </c>
      <c r="I6" s="190" t="inlineStr">
        <is>
          <t>金额</t>
        </is>
      </c>
      <c r="J6" s="188" t="inlineStr">
        <is>
          <t>代码</t>
        </is>
      </c>
      <c r="K6" s="190" t="inlineStr">
        <is>
          <t>科目名称</t>
        </is>
      </c>
      <c r="L6" s="190" t="inlineStr">
        <is>
          <t>金额</t>
        </is>
      </c>
      <c r="M6" s="238" t="n"/>
      <c r="N6" s="237" t="n"/>
      <c r="O6" s="204" t="n"/>
      <c r="P6" s="204" t="n"/>
      <c r="Q6" s="238" t="n"/>
    </row>
    <row r="7" ht="28" customHeight="1" s="1">
      <c r="A7" s="239" t="n">
        <v>1</v>
      </c>
      <c r="B7" s="210" t="inlineStr">
        <is>
          <t>一、境内存款</t>
        </is>
      </c>
      <c r="C7" s="46" t="n"/>
      <c r="D7" s="189" t="inlineStr">
        <is>
          <t>（一）个人存款</t>
        </is>
      </c>
      <c r="E7" s="189" t="n"/>
      <c r="F7" s="240">
        <f>F14-SUM(F15:F23)+F24</f>
        <v/>
      </c>
      <c r="G7" s="48" t="n"/>
      <c r="H7" s="189" t="inlineStr">
        <is>
          <t>（一）个人存款</t>
        </is>
      </c>
      <c r="I7" s="241">
        <f>SUM(I14:I22)</f>
        <v/>
      </c>
      <c r="J7" s="51" t="n"/>
      <c r="K7" s="51" t="inlineStr">
        <is>
          <t>（一）个人存款应付利息</t>
        </is>
      </c>
      <c r="L7" s="241">
        <f>SUM(L14:L17)</f>
        <v/>
      </c>
      <c r="M7" s="242">
        <f>I7+L7</f>
        <v/>
      </c>
      <c r="N7" s="243" t="n"/>
      <c r="O7" s="243" t="n"/>
      <c r="P7" s="244">
        <f>N7+O7</f>
        <v/>
      </c>
      <c r="Q7" s="55" t="n"/>
    </row>
    <row r="8" ht="28" customHeight="1" s="1">
      <c r="A8" s="233" t="n"/>
      <c r="B8" s="234" t="n"/>
      <c r="C8" s="46" t="n"/>
      <c r="D8" s="189" t="inlineStr">
        <is>
          <t>（二）单位存款</t>
        </is>
      </c>
      <c r="E8" s="189" t="n"/>
      <c r="F8" s="245">
        <f>F25-SUM(F26:F33)+F34-F35+SUM(F36:F41)</f>
        <v/>
      </c>
      <c r="G8" s="48" t="n"/>
      <c r="H8" s="189" t="inlineStr">
        <is>
          <t>（二）单位存款</t>
        </is>
      </c>
      <c r="I8" s="241">
        <f>SUM(I25:I34)</f>
        <v/>
      </c>
      <c r="J8" s="51" t="n"/>
      <c r="K8" s="51" t="inlineStr">
        <is>
          <t>（二）单位存款应付利息</t>
        </is>
      </c>
      <c r="L8" s="241">
        <f>SUM(L25:L34)</f>
        <v/>
      </c>
      <c r="M8" s="242">
        <f>I8+L8</f>
        <v/>
      </c>
      <c r="N8" s="243" t="n"/>
      <c r="O8" s="243" t="n"/>
      <c r="P8" s="244">
        <f>N8+O8</f>
        <v/>
      </c>
      <c r="Q8" s="55" t="n"/>
    </row>
    <row r="9" ht="28" customHeight="1" s="1">
      <c r="A9" s="233" t="n"/>
      <c r="B9" s="234" t="n"/>
      <c r="C9" s="46" t="n"/>
      <c r="D9" s="59" t="inlineStr">
        <is>
          <t>其中：住房公积金存款</t>
        </is>
      </c>
      <c r="E9" s="60" t="n"/>
      <c r="F9" s="240">
        <f>SUM(F42:F50)</f>
        <v/>
      </c>
      <c r="G9" s="48" t="n"/>
      <c r="H9" s="189" t="inlineStr">
        <is>
          <t>（三）财政性存款</t>
        </is>
      </c>
      <c r="I9" s="246">
        <f>I60+I61</f>
        <v/>
      </c>
      <c r="J9" s="51" t="n"/>
      <c r="K9" s="51" t="inlineStr">
        <is>
          <t>（三）财政性存款应付利息</t>
        </is>
      </c>
      <c r="L9" s="246">
        <f>L60+L61</f>
        <v/>
      </c>
      <c r="M9" s="242">
        <f>I9+L9</f>
        <v/>
      </c>
      <c r="N9" s="247" t="n"/>
      <c r="O9" s="247" t="n"/>
      <c r="P9" s="244">
        <f>N9+O9</f>
        <v/>
      </c>
      <c r="Q9" s="55" t="n"/>
    </row>
    <row r="10" ht="28" customHeight="1" s="1">
      <c r="A10" s="233" t="n"/>
      <c r="B10" s="234" t="n"/>
      <c r="C10" s="63" t="n"/>
      <c r="D10" s="64" t="inlineStr">
        <is>
          <t>社保基金存款</t>
        </is>
      </c>
      <c r="E10" s="65" t="n"/>
      <c r="F10" s="248">
        <f>SUM(F51:F59)</f>
        <v/>
      </c>
      <c r="G10" s="48" t="n"/>
      <c r="H10" s="189" t="inlineStr">
        <is>
          <t>（四）非存款类金融机构存款</t>
        </is>
      </c>
      <c r="I10" s="246">
        <f>I64+I65</f>
        <v/>
      </c>
      <c r="J10" s="51" t="n"/>
      <c r="K10" s="189" t="inlineStr">
        <is>
          <t>（四）非存款类金融机构存款应付利息</t>
        </is>
      </c>
      <c r="L10" s="246">
        <f>L64+L65</f>
        <v/>
      </c>
      <c r="M10" s="242">
        <f>I10+L10</f>
        <v/>
      </c>
      <c r="N10" s="247" t="n"/>
      <c r="O10" s="247" t="n"/>
      <c r="P10" s="244">
        <f>N10+O10</f>
        <v/>
      </c>
      <c r="Q10" s="67" t="n"/>
      <c r="S10" s="249" t="n"/>
    </row>
    <row r="11" ht="58" customHeight="1" s="1">
      <c r="A11" s="233" t="n"/>
      <c r="B11" s="234" t="n"/>
      <c r="C11" s="46" t="n"/>
      <c r="D11" s="189" t="inlineStr">
        <is>
          <t>（三）财政性存款</t>
        </is>
      </c>
      <c r="E11" s="189" t="n"/>
      <c r="F11" s="250">
        <f>F60+F61</f>
        <v/>
      </c>
      <c r="G11" s="112" t="n"/>
      <c r="H11" s="71" t="inlineStr">
        <is>
          <t>三、高级管理人员在本机构存款</t>
        </is>
      </c>
      <c r="I11" s="246">
        <f>I109</f>
        <v/>
      </c>
      <c r="J11" s="112" t="n"/>
      <c r="K11" s="71" t="inlineStr">
        <is>
          <t>三、高级管理人员在本机构存款利息</t>
        </is>
      </c>
      <c r="L11" s="246">
        <f>L109</f>
        <v/>
      </c>
      <c r="M11" s="242">
        <f>I11+L11</f>
        <v/>
      </c>
      <c r="N11" s="251" t="n"/>
      <c r="O11" s="247" t="n"/>
      <c r="P11" s="244">
        <f>N11+O11</f>
        <v/>
      </c>
      <c r="Q11" s="73" t="n"/>
    </row>
    <row r="12" ht="28" customHeight="1" s="1">
      <c r="A12" s="233" t="n"/>
      <c r="B12" s="234" t="n"/>
      <c r="C12" s="46" t="n"/>
      <c r="D12" s="189" t="inlineStr">
        <is>
          <t>（四）非存款类金融机构存款</t>
        </is>
      </c>
      <c r="E12" s="189" t="n"/>
      <c r="F12" s="250">
        <f>SUM(F64:F82)</f>
        <v/>
      </c>
      <c r="G12" s="112" t="n"/>
      <c r="H12" s="71" t="inlineStr">
        <is>
          <t>四、不予保险的其他存款</t>
        </is>
      </c>
      <c r="I12" s="246">
        <f>I110</f>
        <v/>
      </c>
      <c r="J12" s="112" t="n"/>
      <c r="K12" s="71" t="inlineStr">
        <is>
          <t>四、不予保险的其他存款利息</t>
        </is>
      </c>
      <c r="L12" s="246">
        <f>L110</f>
        <v/>
      </c>
      <c r="M12" s="242">
        <f>I12+L12</f>
        <v/>
      </c>
      <c r="N12" s="251" t="n"/>
      <c r="O12" s="247" t="n"/>
      <c r="P12" s="244">
        <f>N12+O12</f>
        <v/>
      </c>
      <c r="Q12" s="74" t="n"/>
    </row>
    <row r="13" ht="28" customHeight="1" s="1">
      <c r="A13" s="237" t="n"/>
      <c r="B13" s="238" t="n"/>
      <c r="C13" s="46" t="n"/>
      <c r="D13" s="51" t="inlineStr">
        <is>
          <t>境内存款合计</t>
        </is>
      </c>
      <c r="E13" s="77" t="n"/>
      <c r="F13" s="252">
        <f>F7+F8+F11+F12</f>
        <v/>
      </c>
      <c r="G13" s="112" t="n"/>
      <c r="H13" s="71" t="inlineStr">
        <is>
          <t>被保险存款合计</t>
        </is>
      </c>
      <c r="I13" s="246">
        <f>I7+I8+I9-I11-I12</f>
        <v/>
      </c>
      <c r="J13" s="112" t="n"/>
      <c r="K13" s="71" t="inlineStr">
        <is>
          <t>被保险存款利息合计</t>
        </is>
      </c>
      <c r="L13" s="246">
        <f>L7+L8+L9-L11-L12</f>
        <v/>
      </c>
      <c r="M13" s="242">
        <f>I13+L13</f>
        <v/>
      </c>
      <c r="N13" s="253">
        <f>N7+N8+N9-N11-N12</f>
        <v/>
      </c>
      <c r="O13" s="254">
        <f>O7+O8+O9-O11-O12</f>
        <v/>
      </c>
      <c r="P13" s="244">
        <f>N13+O13</f>
        <v/>
      </c>
      <c r="Q13" s="74" t="n"/>
    </row>
    <row r="14" ht="20" customHeight="1" s="1">
      <c r="A14" s="35" t="n">
        <v>2</v>
      </c>
      <c r="B14" s="81" t="inlineStr">
        <is>
          <t>（一）个人存款</t>
        </is>
      </c>
      <c r="C14" s="82" t="inlineStr">
        <is>
          <t>12MI1/22MI1</t>
        </is>
      </c>
      <c r="D14" s="83" t="inlineStr">
        <is>
          <t>2.个人存款</t>
        </is>
      </c>
      <c r="E14" s="82" t="inlineStr">
        <is>
          <t>加</t>
        </is>
      </c>
      <c r="F14" s="255" t="inlineStr">
        <is>
          <t xml:space="preserve"> </t>
        </is>
      </c>
      <c r="G14" s="85" t="n">
        <v>2003</v>
      </c>
      <c r="H14" s="86" t="inlineStr">
        <is>
          <t>个人活期存款</t>
        </is>
      </c>
      <c r="I14" s="87" t="n"/>
      <c r="J14" s="88" t="n">
        <v>223103</v>
      </c>
      <c r="K14" s="89" t="inlineStr">
        <is>
          <t>应付利息-个人活期存款应付利息</t>
        </is>
      </c>
      <c r="L14" s="90" t="n"/>
      <c r="M14" s="256" t="n"/>
      <c r="N14" s="128" t="n"/>
      <c r="O14" s="128" t="n"/>
      <c r="P14" s="128" t="n"/>
      <c r="Q14" s="257" t="n"/>
    </row>
    <row r="15" ht="20" customHeight="1" s="1">
      <c r="A15" s="233" t="n"/>
      <c r="B15" s="234" t="n"/>
      <c r="C15" s="96" t="inlineStr">
        <is>
          <t>12MI3/22MI3</t>
        </is>
      </c>
      <c r="D15" s="97" t="inlineStr">
        <is>
          <t>其中：非居民</t>
        </is>
      </c>
      <c r="E15" s="96" t="inlineStr">
        <is>
          <t>减</t>
        </is>
      </c>
      <c r="F15" s="258" t="n"/>
      <c r="G15" s="85" t="n">
        <v>2004</v>
      </c>
      <c r="H15" s="86" t="inlineStr">
        <is>
          <t>个人定期存款</t>
        </is>
      </c>
      <c r="I15" s="243" t="n"/>
      <c r="J15" s="88" t="n">
        <v>223104</v>
      </c>
      <c r="K15" s="89" t="inlineStr">
        <is>
          <t>应付利息-个人定期存款应付利息</t>
        </is>
      </c>
      <c r="L15" s="90" t="n"/>
      <c r="M15" s="256" t="n"/>
      <c r="N15" s="99" t="n"/>
      <c r="O15" s="128" t="n"/>
      <c r="P15" s="128" t="n"/>
      <c r="Q15" s="234" t="n"/>
    </row>
    <row r="16" ht="35" customHeight="1" s="1">
      <c r="A16" s="233" t="n"/>
      <c r="B16" s="234" t="n"/>
      <c r="C16" s="96" t="inlineStr">
        <is>
          <t>12MI5/22MI5</t>
        </is>
      </c>
      <c r="D16" s="97" t="inlineStr">
        <is>
          <t>其中：非居民</t>
        </is>
      </c>
      <c r="E16" s="96" t="inlineStr">
        <is>
          <t>减</t>
        </is>
      </c>
      <c r="F16" s="258" t="n"/>
      <c r="G16" s="85" t="n">
        <v>200503</v>
      </c>
      <c r="H16" s="86" t="inlineStr">
        <is>
          <t>银行卡存款-个人银行卡活期存款</t>
        </is>
      </c>
      <c r="I16" s="87" t="n"/>
      <c r="J16" s="88" t="n">
        <v>22310503</v>
      </c>
      <c r="K16" s="71" t="inlineStr">
        <is>
          <t>应付利息-银行卡存款应付利息-个人银行卡活期存款应付利息</t>
        </is>
      </c>
      <c r="L16" s="247" t="n"/>
      <c r="M16" s="256" t="n"/>
      <c r="N16" s="99" t="n"/>
      <c r="O16" s="128" t="n"/>
      <c r="P16" s="128" t="n"/>
      <c r="Q16" s="234" t="n"/>
    </row>
    <row r="17" ht="35" customHeight="1" s="1">
      <c r="A17" s="233" t="n"/>
      <c r="B17" s="234" t="n"/>
      <c r="C17" s="96" t="inlineStr">
        <is>
          <t>12MI7/22MI7</t>
        </is>
      </c>
      <c r="D17" s="97" t="inlineStr">
        <is>
          <t>其中：非居民</t>
        </is>
      </c>
      <c r="E17" s="96" t="inlineStr">
        <is>
          <t>减</t>
        </is>
      </c>
      <c r="F17" s="258" t="n"/>
      <c r="G17" s="85" t="n">
        <v>200504</v>
      </c>
      <c r="H17" s="86" t="inlineStr">
        <is>
          <t>银行卡存款-个人银行卡定期存款</t>
        </is>
      </c>
      <c r="I17" s="259" t="n"/>
      <c r="J17" s="88" t="n">
        <v>22310504</v>
      </c>
      <c r="K17" s="71" t="inlineStr">
        <is>
          <t>应付利息-银行卡存款应付利息-个人银行卡定期存款应付利息</t>
        </is>
      </c>
      <c r="L17" s="247" t="n"/>
      <c r="M17" s="256" t="n"/>
      <c r="N17" s="99" t="n"/>
      <c r="O17" s="128" t="n"/>
      <c r="P17" s="128" t="n"/>
      <c r="Q17" s="234" t="n"/>
    </row>
    <row r="18" ht="20" customHeight="1" s="1">
      <c r="A18" s="233" t="n"/>
      <c r="B18" s="234" t="n"/>
      <c r="C18" s="96" t="inlineStr">
        <is>
          <t>12MI9/22MI9</t>
        </is>
      </c>
      <c r="D18" s="97" t="inlineStr">
        <is>
          <t>其中：非居民</t>
        </is>
      </c>
      <c r="E18" s="96" t="inlineStr">
        <is>
          <t>减</t>
        </is>
      </c>
      <c r="F18" s="258" t="n"/>
      <c r="G18" s="85" t="n">
        <v>20140102</v>
      </c>
      <c r="H18" s="89" t="inlineStr">
        <is>
          <t>保证金存款(个人部分）</t>
        </is>
      </c>
      <c r="I18" s="87" t="n"/>
      <c r="J18" s="88" t="n"/>
      <c r="K18" s="89" t="n"/>
      <c r="L18" s="247" t="n"/>
      <c r="M18" s="256" t="n"/>
      <c r="N18" s="99" t="n"/>
      <c r="O18" s="128" t="n"/>
      <c r="P18" s="128" t="n"/>
      <c r="Q18" s="234" t="n"/>
    </row>
    <row r="19" ht="67" customHeight="1" s="1">
      <c r="A19" s="233" t="n"/>
      <c r="B19" s="234" t="n"/>
      <c r="C19" s="96" t="inlineStr">
        <is>
          <t>12MIB/22MIB</t>
        </is>
      </c>
      <c r="D19" s="97" t="inlineStr">
        <is>
          <t>其中：非居民</t>
        </is>
      </c>
      <c r="E19" s="96" t="inlineStr">
        <is>
          <t>减</t>
        </is>
      </c>
      <c r="F19" s="258" t="n"/>
      <c r="G19" s="104" t="n">
        <v>20140202</v>
      </c>
      <c r="H19" s="260" t="n"/>
      <c r="I19" s="247" t="n"/>
      <c r="J19" s="106" t="n"/>
      <c r="K19" s="51" t="n"/>
      <c r="L19" s="90" t="n"/>
      <c r="M19" s="256" t="n"/>
      <c r="N19" s="99" t="n"/>
      <c r="O19" s="128" t="n"/>
      <c r="P19" s="128" t="n"/>
      <c r="Q19" s="238" t="n"/>
    </row>
    <row r="20" ht="20" customHeight="1" s="1">
      <c r="A20" s="233" t="n"/>
      <c r="B20" s="234" t="n"/>
      <c r="C20" s="96" t="inlineStr">
        <is>
          <t>12MID/22MID</t>
        </is>
      </c>
      <c r="D20" s="97" t="inlineStr">
        <is>
          <t>其中：非居民</t>
        </is>
      </c>
      <c r="E20" s="96" t="inlineStr">
        <is>
          <t>减</t>
        </is>
      </c>
      <c r="F20" s="258" t="n"/>
      <c r="G20" s="104" t="n">
        <v>20140302</v>
      </c>
      <c r="H20" s="260" t="n"/>
      <c r="I20" s="247" t="n"/>
      <c r="J20" s="106" t="n"/>
      <c r="K20" s="51" t="n"/>
      <c r="L20" s="247" t="n"/>
      <c r="M20" s="256" t="n"/>
      <c r="N20" s="99" t="n"/>
      <c r="O20" s="128" t="n"/>
      <c r="P20" s="128" t="n"/>
      <c r="Q20" s="108" t="n"/>
    </row>
    <row r="21" ht="20" customHeight="1" s="1">
      <c r="A21" s="233" t="n"/>
      <c r="B21" s="234" t="n"/>
      <c r="C21" s="96" t="inlineStr">
        <is>
          <t>12MIF/22MIF</t>
        </is>
      </c>
      <c r="D21" s="97" t="inlineStr">
        <is>
          <t>其中：非居民</t>
        </is>
      </c>
      <c r="E21" s="96" t="inlineStr">
        <is>
          <t>减</t>
        </is>
      </c>
      <c r="F21" s="258" t="n"/>
      <c r="G21" s="104" t="n">
        <v>20140402</v>
      </c>
      <c r="H21" s="261" t="n"/>
      <c r="I21" s="247" t="n"/>
      <c r="J21" s="106" t="n"/>
      <c r="K21" s="51" t="n"/>
      <c r="L21" s="247" t="n"/>
      <c r="M21" s="256" t="n"/>
      <c r="N21" s="99" t="n"/>
      <c r="O21" s="128" t="n"/>
      <c r="P21" s="128" t="n"/>
      <c r="Q21" s="108" t="n"/>
    </row>
    <row r="22" ht="20" customHeight="1" s="1">
      <c r="A22" s="233" t="n"/>
      <c r="B22" s="234" t="n"/>
      <c r="C22" s="96" t="inlineStr">
        <is>
          <t>12MIH/22MIH</t>
        </is>
      </c>
      <c r="D22" s="97" t="inlineStr">
        <is>
          <t>其中：非居民</t>
        </is>
      </c>
      <c r="E22" s="96" t="inlineStr">
        <is>
          <t>减</t>
        </is>
      </c>
      <c r="F22" s="258" t="n"/>
      <c r="G22" s="104" t="n">
        <v>22410401</v>
      </c>
      <c r="H22" s="110" t="inlineStr">
        <is>
          <t>其他应付款-久悬不动户-久悬未取款项</t>
        </is>
      </c>
      <c r="I22" s="247" t="n"/>
      <c r="J22" s="106" t="n"/>
      <c r="K22" s="51" t="n"/>
      <c r="L22" s="247" t="n"/>
      <c r="M22" s="256" t="n"/>
      <c r="N22" s="99" t="n"/>
      <c r="O22" s="128" t="n"/>
      <c r="P22" s="128" t="n"/>
      <c r="Q22" s="108" t="n"/>
    </row>
    <row r="23" ht="20" customHeight="1" s="1">
      <c r="A23" s="233" t="n"/>
      <c r="B23" s="234" t="n"/>
      <c r="C23" s="96" t="inlineStr">
        <is>
          <t>12N1A/22N1A</t>
        </is>
      </c>
      <c r="D23" s="97" t="inlineStr">
        <is>
          <t>其中：非居民</t>
        </is>
      </c>
      <c r="E23" s="96" t="inlineStr">
        <is>
          <t>减</t>
        </is>
      </c>
      <c r="F23" s="258" t="n"/>
      <c r="G23" s="111" t="n"/>
      <c r="H23" s="112" t="n"/>
      <c r="I23" s="247" t="n"/>
      <c r="J23" s="106" t="n"/>
      <c r="K23" s="51" t="n"/>
      <c r="L23" s="247" t="n"/>
      <c r="M23" s="256" t="n"/>
      <c r="N23" s="99" t="n"/>
      <c r="O23" s="128" t="n"/>
      <c r="P23" s="128" t="n"/>
      <c r="Q23" s="108" t="n"/>
    </row>
    <row r="24" ht="20" customHeight="1" s="1">
      <c r="A24" s="237" t="n"/>
      <c r="B24" s="234" t="n"/>
      <c r="C24" s="96" t="inlineStr">
        <is>
          <t>12MW5/22MW5</t>
        </is>
      </c>
      <c r="D24" s="97" t="inlineStr">
        <is>
          <t>境内个人</t>
        </is>
      </c>
      <c r="E24" s="96" t="inlineStr">
        <is>
          <t>加</t>
        </is>
      </c>
      <c r="F24" s="258" t="n"/>
      <c r="G24" s="111" t="n"/>
      <c r="H24" s="112" t="n"/>
      <c r="I24" s="262" t="n"/>
      <c r="J24" s="114" t="n"/>
      <c r="K24" s="115" t="n"/>
      <c r="L24" s="262" t="n"/>
      <c r="M24" s="263" t="n"/>
      <c r="N24" s="99" t="n"/>
      <c r="O24" s="128" t="n"/>
      <c r="P24" s="128" t="n"/>
      <c r="Q24" s="108" t="n"/>
    </row>
    <row r="25" ht="20" customHeight="1" s="1">
      <c r="A25" s="35" t="n">
        <v>3</v>
      </c>
      <c r="B25" s="36" t="inlineStr">
        <is>
          <t>（二）单位存款</t>
        </is>
      </c>
      <c r="C25" s="117" t="inlineStr">
        <is>
          <t>12MG3/22MG3</t>
        </is>
      </c>
      <c r="D25" s="118" t="inlineStr">
        <is>
          <t>1.单位存款</t>
        </is>
      </c>
      <c r="E25" s="96" t="inlineStr">
        <is>
          <t>加</t>
        </is>
      </c>
      <c r="F25" s="258" t="inlineStr">
        <is>
          <t xml:space="preserve"> </t>
        </is>
      </c>
      <c r="G25" s="119" t="n">
        <v>2001</v>
      </c>
      <c r="H25" s="120" t="inlineStr">
        <is>
          <t>单位活期存款</t>
        </is>
      </c>
      <c r="I25" s="121" t="n"/>
      <c r="J25" s="122" t="n">
        <v>223101</v>
      </c>
      <c r="K25" s="123" t="inlineStr">
        <is>
          <t>应付利息-单位活期存款应付利息</t>
        </is>
      </c>
      <c r="L25" s="124" t="n"/>
      <c r="M25" s="124" t="n"/>
      <c r="N25" s="99" t="n"/>
      <c r="O25" s="128" t="n"/>
      <c r="P25" s="128" t="n"/>
      <c r="Q25" s="108" t="n"/>
    </row>
    <row r="26" ht="20" customHeight="1" s="1">
      <c r="A26" s="233" t="n"/>
      <c r="B26" s="234" t="n"/>
      <c r="C26" s="117" t="inlineStr">
        <is>
          <t>12MGA/22MGA</t>
        </is>
      </c>
      <c r="D26" s="97" t="inlineStr">
        <is>
          <t>非居民活期存款</t>
        </is>
      </c>
      <c r="E26" s="96" t="inlineStr">
        <is>
          <t>减</t>
        </is>
      </c>
      <c r="F26" s="258" t="n"/>
      <c r="G26" s="125" t="n">
        <v>2002</v>
      </c>
      <c r="H26" s="89" t="inlineStr">
        <is>
          <t>单位定期存款</t>
        </is>
      </c>
      <c r="I26" s="87" t="n"/>
      <c r="J26" s="126" t="n">
        <v>223102</v>
      </c>
      <c r="K26" s="132" t="inlineStr">
        <is>
          <t>应付利息-单位定期存款应付利息</t>
        </is>
      </c>
      <c r="L26" s="90" t="n"/>
      <c r="M26" s="256" t="n"/>
      <c r="N26" s="99" t="n"/>
      <c r="O26" s="128" t="n"/>
      <c r="P26" s="128" t="n"/>
      <c r="Q26" s="108" t="n"/>
    </row>
    <row r="27" ht="35" customHeight="1" s="1">
      <c r="A27" s="233" t="n"/>
      <c r="B27" s="234" t="n"/>
      <c r="C27" s="117" t="inlineStr">
        <is>
          <t>12MGH/22MGH</t>
        </is>
      </c>
      <c r="D27" s="97" t="inlineStr">
        <is>
          <t>非居民定期存款</t>
        </is>
      </c>
      <c r="E27" s="96" t="inlineStr">
        <is>
          <t>减</t>
        </is>
      </c>
      <c r="F27" s="258" t="n"/>
      <c r="G27" s="125" t="n">
        <v>200501</v>
      </c>
      <c r="H27" s="89" t="inlineStr">
        <is>
          <t>银行卡存款-单位银行卡活期存款</t>
        </is>
      </c>
      <c r="I27" s="128" t="n"/>
      <c r="J27" s="126" t="n">
        <v>22310501</v>
      </c>
      <c r="K27" s="129" t="inlineStr">
        <is>
          <t>应付利息-银行卡存款应付利息-单位银行卡活期存款应付利息</t>
        </is>
      </c>
      <c r="L27" s="128" t="n"/>
      <c r="M27" s="256" t="n"/>
      <c r="N27" s="99" t="n"/>
      <c r="O27" s="128" t="n"/>
      <c r="P27" s="128" t="n"/>
      <c r="Q27" s="108" t="n"/>
    </row>
    <row r="28" ht="35" customHeight="1" s="1">
      <c r="A28" s="233" t="n"/>
      <c r="B28" s="234" t="n"/>
      <c r="C28" s="117" t="inlineStr">
        <is>
          <t>12MGQ/22MGQ</t>
        </is>
      </c>
      <c r="D28" s="97" t="inlineStr">
        <is>
          <t>非居民通知存款</t>
        </is>
      </c>
      <c r="E28" s="96" t="inlineStr">
        <is>
          <t>减</t>
        </is>
      </c>
      <c r="F28" s="258" t="n"/>
      <c r="G28" s="125" t="n">
        <v>200502</v>
      </c>
      <c r="H28" s="89" t="inlineStr">
        <is>
          <t>银行卡存款-单位银行卡定期存款</t>
        </is>
      </c>
      <c r="I28" s="128" t="n"/>
      <c r="J28" s="126" t="n">
        <v>22310502</v>
      </c>
      <c r="K28" s="129" t="inlineStr">
        <is>
          <t>应付利息-银行卡存款应付利息-单位银行卡定期存款应付利息</t>
        </is>
      </c>
      <c r="L28" s="128" t="n"/>
      <c r="M28" s="256" t="n"/>
      <c r="N28" s="99" t="n"/>
      <c r="O28" s="128" t="n"/>
      <c r="P28" s="128" t="n"/>
      <c r="Q28" s="108" t="n"/>
    </row>
    <row r="29" ht="35" customHeight="1" s="1">
      <c r="A29" s="233" t="n"/>
      <c r="B29" s="234" t="n"/>
      <c r="C29" s="117" t="inlineStr">
        <is>
          <t>12MH3/22MH3</t>
        </is>
      </c>
      <c r="D29" s="97" t="inlineStr">
        <is>
          <t>非居民协议存款</t>
        </is>
      </c>
      <c r="E29" s="96" t="inlineStr">
        <is>
          <t>减</t>
        </is>
      </c>
      <c r="F29" s="258" t="n"/>
      <c r="G29" s="125" t="n">
        <v>200601</v>
      </c>
      <c r="H29" s="89" t="inlineStr">
        <is>
          <t>财政性存款-财政性存款</t>
        </is>
      </c>
      <c r="I29" s="87" t="n"/>
      <c r="J29" s="130" t="n">
        <v>22310601</v>
      </c>
      <c r="K29" s="131" t="inlineStr">
        <is>
          <t>应付利息-财政性存款应付利息-财政性存款应付利息</t>
        </is>
      </c>
      <c r="L29" s="247" t="n"/>
      <c r="M29" s="256" t="n"/>
      <c r="N29" s="99" t="n"/>
      <c r="O29" s="128" t="n"/>
      <c r="P29" s="128" t="n"/>
      <c r="Q29" s="108" t="n"/>
    </row>
    <row r="30" ht="20" customHeight="1" s="1">
      <c r="A30" s="233" t="n"/>
      <c r="B30" s="234" t="n"/>
      <c r="C30" s="117" t="inlineStr">
        <is>
          <t>12MHA/22MHA</t>
        </is>
      </c>
      <c r="D30" s="97" t="inlineStr">
        <is>
          <t>非居民协定存款</t>
        </is>
      </c>
      <c r="E30" s="96" t="inlineStr">
        <is>
          <t>减</t>
        </is>
      </c>
      <c r="F30" s="258" t="n"/>
      <c r="G30" s="125" t="n">
        <v>2011</v>
      </c>
      <c r="H30" s="89" t="inlineStr">
        <is>
          <t>应解汇款</t>
        </is>
      </c>
      <c r="I30" s="259" t="n"/>
      <c r="J30" s="126" t="n"/>
      <c r="K30" s="132" t="n"/>
      <c r="L30" s="247" t="n"/>
      <c r="M30" s="256" t="n"/>
      <c r="N30" s="99" t="n"/>
      <c r="O30" s="128" t="n"/>
      <c r="P30" s="128" t="n"/>
      <c r="Q30" s="108" t="n"/>
    </row>
    <row r="31" ht="20" customHeight="1" s="1">
      <c r="A31" s="233" t="n"/>
      <c r="B31" s="234" t="n"/>
      <c r="C31" s="117" t="inlineStr">
        <is>
          <t>12MHH/22MHH</t>
        </is>
      </c>
      <c r="D31" s="118" t="inlineStr">
        <is>
          <t>非居民保证金存款</t>
        </is>
      </c>
      <c r="E31" s="96" t="inlineStr">
        <is>
          <t>减</t>
        </is>
      </c>
      <c r="F31" s="258" t="n"/>
      <c r="G31" s="125" t="n">
        <v>20140101</v>
      </c>
      <c r="H31" s="89" t="inlineStr">
        <is>
          <t>保证金存款（单位部分）</t>
        </is>
      </c>
      <c r="I31" s="87" t="n"/>
      <c r="J31" s="126" t="n"/>
      <c r="K31" s="132" t="n"/>
      <c r="L31" s="247" t="n"/>
      <c r="M31" s="256" t="n"/>
      <c r="N31" s="99" t="n"/>
      <c r="O31" s="128" t="n"/>
      <c r="P31" s="128" t="n"/>
      <c r="Q31" s="108" t="n"/>
    </row>
    <row r="32" ht="20" customHeight="1" s="1">
      <c r="A32" s="233" t="n"/>
      <c r="B32" s="234" t="n"/>
      <c r="C32" s="117" t="inlineStr">
        <is>
          <t>12MHQ/22MHQ</t>
        </is>
      </c>
      <c r="D32" s="118" t="inlineStr">
        <is>
          <t>非居民结构性存款</t>
        </is>
      </c>
      <c r="E32" s="96" t="inlineStr">
        <is>
          <t>减</t>
        </is>
      </c>
      <c r="F32" s="258" t="n"/>
      <c r="G32" s="133" t="n">
        <v>20140201</v>
      </c>
      <c r="H32" s="260" t="n"/>
      <c r="I32" s="258" t="n"/>
      <c r="J32" s="134" t="n"/>
      <c r="K32" s="135" t="n"/>
      <c r="L32" s="247" t="n"/>
      <c r="M32" s="256" t="n"/>
      <c r="N32" s="99" t="n"/>
      <c r="O32" s="128" t="n"/>
      <c r="P32" s="128" t="n"/>
      <c r="Q32" s="108" t="n"/>
    </row>
    <row r="33" ht="20" customHeight="1" s="1">
      <c r="A33" s="233" t="n"/>
      <c r="B33" s="234" t="n"/>
      <c r="C33" s="117" t="inlineStr">
        <is>
          <t>12N18/22N18</t>
        </is>
      </c>
      <c r="D33" s="118" t="inlineStr">
        <is>
          <t>非居民信用卡存款</t>
        </is>
      </c>
      <c r="E33" s="96" t="inlineStr">
        <is>
          <t>减</t>
        </is>
      </c>
      <c r="F33" s="258" t="n"/>
      <c r="G33" s="133" t="n">
        <v>20140301</v>
      </c>
      <c r="H33" s="260" t="n"/>
      <c r="I33" s="128" t="n"/>
      <c r="J33" s="134" t="n"/>
      <c r="K33" s="135" t="n"/>
      <c r="L33" s="128" t="n"/>
      <c r="M33" s="256" t="n"/>
      <c r="N33" s="99" t="n"/>
      <c r="O33" s="128" t="n"/>
      <c r="P33" s="128" t="n"/>
      <c r="Q33" s="108" t="n"/>
    </row>
    <row r="34" ht="20" customHeight="1" s="1">
      <c r="A34" s="233" t="n"/>
      <c r="B34" s="234" t="n"/>
      <c r="C34" s="117" t="inlineStr">
        <is>
          <t>12MIV/22MIV</t>
        </is>
      </c>
      <c r="D34" s="118" t="inlineStr">
        <is>
          <t>4.临时性存款</t>
        </is>
      </c>
      <c r="E34" s="96" t="inlineStr">
        <is>
          <t>加</t>
        </is>
      </c>
      <c r="F34" s="258" t="inlineStr">
        <is>
          <t xml:space="preserve"> </t>
        </is>
      </c>
      <c r="G34" s="133" t="n">
        <v>20140401</v>
      </c>
      <c r="H34" s="261" t="n"/>
      <c r="I34" s="128" t="n"/>
      <c r="J34" s="134" t="n">
        <v>223108</v>
      </c>
      <c r="K34" s="135" t="inlineStr">
        <is>
          <t>保证金存款应付利息(单位部分)</t>
        </is>
      </c>
      <c r="L34" s="256" t="n"/>
      <c r="M34" s="256" t="n"/>
      <c r="N34" s="99" t="n"/>
      <c r="O34" s="128" t="n"/>
      <c r="P34" s="128" t="n"/>
      <c r="Q34" s="108" t="n"/>
    </row>
    <row r="35" ht="20" customHeight="1" s="1">
      <c r="A35" s="233" t="n"/>
      <c r="B35" s="234" t="n"/>
      <c r="C35" s="117" t="inlineStr">
        <is>
          <t>12MIX/22MIX</t>
        </is>
      </c>
      <c r="D35" s="118" t="inlineStr">
        <is>
          <t>其中：境外汇入应解汇款</t>
        </is>
      </c>
      <c r="E35" s="96" t="inlineStr">
        <is>
          <t>减</t>
        </is>
      </c>
      <c r="F35" s="258" t="n"/>
      <c r="G35" s="133" t="n">
        <v>22410402</v>
      </c>
      <c r="H35" s="136" t="inlineStr">
        <is>
          <t>其他应付款-久悬不动户-对公存款不动户</t>
        </is>
      </c>
      <c r="I35" s="128" t="n"/>
      <c r="J35" s="134" t="n"/>
      <c r="K35" s="135" t="n"/>
      <c r="L35" s="128" t="n"/>
      <c r="M35" s="256" t="n"/>
      <c r="N35" s="99" t="n"/>
      <c r="O35" s="128" t="n"/>
      <c r="P35" s="128" t="n"/>
      <c r="Q35" s="108" t="n"/>
    </row>
    <row r="36" ht="20" customHeight="1" s="1">
      <c r="A36" s="233" t="n"/>
      <c r="B36" s="234" t="n"/>
      <c r="C36" s="117" t="inlineStr">
        <is>
          <t>12MW6/22MW6</t>
        </is>
      </c>
      <c r="D36" s="118" t="inlineStr">
        <is>
          <t>境内非金融企业</t>
        </is>
      </c>
      <c r="E36" s="96" t="inlineStr">
        <is>
          <t>加</t>
        </is>
      </c>
      <c r="F36" s="258" t="n"/>
      <c r="G36" s="133" t="n">
        <v>630108</v>
      </c>
      <c r="H36" s="136" t="inlineStr">
        <is>
          <t>营业外收入-久悬未取款项收入</t>
        </is>
      </c>
      <c r="I36" s="128" t="n"/>
      <c r="J36" s="134" t="n"/>
      <c r="K36" s="135" t="n"/>
      <c r="L36" s="128" t="n"/>
      <c r="M36" s="256" t="n"/>
      <c r="N36" s="99" t="n"/>
      <c r="O36" s="128" t="n"/>
      <c r="P36" s="128" t="n"/>
      <c r="Q36" s="108" t="n"/>
    </row>
    <row r="37" ht="20" customHeight="1" s="1">
      <c r="A37" s="233" t="n"/>
      <c r="B37" s="234" t="n"/>
      <c r="C37" s="117" t="inlineStr">
        <is>
          <t>12MW7/22MW7</t>
        </is>
      </c>
      <c r="D37" s="118" t="inlineStr">
        <is>
          <t>境内机关团体</t>
        </is>
      </c>
      <c r="E37" s="96" t="inlineStr">
        <is>
          <t>加</t>
        </is>
      </c>
      <c r="F37" s="258" t="n"/>
      <c r="G37" s="133" t="n">
        <v>671106</v>
      </c>
      <c r="H37" s="136" t="inlineStr">
        <is>
          <t>营业外支出-久悬未取款项支出（-）</t>
        </is>
      </c>
      <c r="I37" s="128" t="n"/>
      <c r="J37" s="134" t="n"/>
      <c r="K37" s="135" t="n"/>
      <c r="L37" s="128" t="n"/>
      <c r="M37" s="256" t="n"/>
      <c r="N37" s="99" t="n"/>
      <c r="O37" s="128" t="n"/>
      <c r="P37" s="128" t="n"/>
      <c r="Q37" s="108" t="n"/>
    </row>
    <row r="38" ht="20" customHeight="1" s="1">
      <c r="A38" s="233" t="n"/>
      <c r="B38" s="234" t="n"/>
      <c r="C38" s="117" t="inlineStr">
        <is>
          <t>12MW8/22MW8</t>
        </is>
      </c>
      <c r="D38" s="118" t="inlineStr">
        <is>
          <t>境内社保基金</t>
        </is>
      </c>
      <c r="E38" s="96" t="inlineStr">
        <is>
          <t>加</t>
        </is>
      </c>
      <c r="F38" s="258" t="n"/>
      <c r="G38" s="133" t="n"/>
      <c r="H38" s="112" t="n"/>
      <c r="I38" s="128" t="n"/>
      <c r="J38" s="134" t="n"/>
      <c r="K38" s="135" t="n"/>
      <c r="L38" s="128" t="n"/>
      <c r="M38" s="256" t="n"/>
      <c r="N38" s="99" t="n"/>
      <c r="O38" s="128" t="n"/>
      <c r="P38" s="128" t="n"/>
      <c r="Q38" s="108" t="n"/>
    </row>
    <row r="39" ht="20" customHeight="1" s="1">
      <c r="A39" s="233" t="n"/>
      <c r="B39" s="234" t="n"/>
      <c r="C39" s="117" t="inlineStr">
        <is>
          <t>12MW9/22MW9</t>
        </is>
      </c>
      <c r="D39" s="118" t="inlineStr">
        <is>
          <t>境内部队</t>
        </is>
      </c>
      <c r="E39" s="96" t="inlineStr">
        <is>
          <t>加</t>
        </is>
      </c>
      <c r="F39" s="258" t="n"/>
      <c r="G39" s="133" t="n"/>
      <c r="H39" s="112" t="n"/>
      <c r="I39" s="243" t="n"/>
      <c r="J39" s="134" t="n"/>
      <c r="K39" s="135" t="n"/>
      <c r="L39" s="128" t="n"/>
      <c r="M39" s="256" t="n"/>
      <c r="N39" s="99" t="n"/>
      <c r="O39" s="128" t="n"/>
      <c r="P39" s="128" t="n"/>
      <c r="Q39" s="108" t="n"/>
    </row>
    <row r="40" ht="20" customHeight="1" s="1">
      <c r="A40" s="233" t="n"/>
      <c r="B40" s="234" t="n"/>
      <c r="C40" s="117" t="inlineStr">
        <is>
          <t>12MWA/22MWA</t>
        </is>
      </c>
      <c r="D40" s="118" t="inlineStr">
        <is>
          <t>境内住房公积金</t>
        </is>
      </c>
      <c r="E40" s="96" t="inlineStr">
        <is>
          <t>加</t>
        </is>
      </c>
      <c r="F40" s="258" t="n"/>
      <c r="G40" s="137" t="n"/>
      <c r="H40" s="138" t="n"/>
      <c r="I40" s="128" t="n"/>
      <c r="J40" s="135" t="n"/>
      <c r="K40" s="135" t="n"/>
      <c r="L40" s="128" t="n"/>
      <c r="M40" s="256" t="n"/>
      <c r="N40" s="99" t="n"/>
      <c r="O40" s="128" t="n"/>
      <c r="P40" s="128" t="n"/>
      <c r="Q40" s="108" t="n"/>
    </row>
    <row r="41" ht="20" customHeight="1" s="1">
      <c r="A41" s="237" t="n"/>
      <c r="B41" s="238" t="n"/>
      <c r="C41" s="140" t="inlineStr">
        <is>
          <t>22MMU</t>
        </is>
      </c>
      <c r="D41" s="141" t="inlineStr">
        <is>
          <t>3.专项存款（中行专用）</t>
        </is>
      </c>
      <c r="E41" s="96" t="inlineStr">
        <is>
          <t>加</t>
        </is>
      </c>
      <c r="F41" s="258" t="n"/>
      <c r="G41" s="137" t="n"/>
      <c r="H41" s="138" t="n"/>
      <c r="I41" s="128" t="n"/>
      <c r="J41" s="135" t="n"/>
      <c r="K41" s="135" t="n"/>
      <c r="L41" s="128" t="n"/>
      <c r="M41" s="256" t="n"/>
      <c r="N41" s="99" t="n"/>
      <c r="O41" s="128" t="n"/>
      <c r="P41" s="128" t="n"/>
      <c r="Q41" s="108" t="n"/>
    </row>
    <row r="42" ht="20" customHeight="1" s="1">
      <c r="A42" s="35" t="n">
        <v>4</v>
      </c>
      <c r="B42" s="36" t="inlineStr">
        <is>
          <t>其中：住房公积金存款</t>
        </is>
      </c>
      <c r="C42" s="142" t="inlineStr">
        <is>
          <t>12MG9/22MG9</t>
        </is>
      </c>
      <c r="D42" s="143" t="inlineStr">
        <is>
          <t>住房公积金活期存款</t>
        </is>
      </c>
      <c r="E42" s="144" t="inlineStr">
        <is>
          <t>加</t>
        </is>
      </c>
      <c r="F42" s="258" t="n"/>
      <c r="G42" s="137" t="n"/>
      <c r="H42" s="138" t="n"/>
      <c r="I42" s="128" t="n"/>
      <c r="J42" s="135" t="n"/>
      <c r="K42" s="135" t="n"/>
      <c r="L42" s="128" t="n"/>
      <c r="M42" s="256" t="n"/>
      <c r="N42" s="99" t="n"/>
      <c r="O42" s="128" t="n"/>
      <c r="P42" s="128" t="n"/>
      <c r="Q42" s="108" t="n"/>
    </row>
    <row r="43" ht="20" customHeight="1" s="1">
      <c r="A43" s="233" t="n"/>
      <c r="B43" s="234" t="n"/>
      <c r="C43" s="145" t="inlineStr">
        <is>
          <t>12MGG/22MGG</t>
        </is>
      </c>
      <c r="D43" s="146" t="inlineStr">
        <is>
          <t>住房公积金定期存款</t>
        </is>
      </c>
      <c r="E43" s="147" t="inlineStr">
        <is>
          <t>加</t>
        </is>
      </c>
      <c r="F43" s="258" t="n"/>
      <c r="G43" s="137" t="n"/>
      <c r="H43" s="138" t="n"/>
      <c r="I43" s="128" t="n"/>
      <c r="J43" s="135" t="n"/>
      <c r="K43" s="135" t="n"/>
      <c r="L43" s="135" t="n"/>
      <c r="M43" s="264" t="n"/>
      <c r="N43" s="137" t="n"/>
      <c r="O43" s="135" t="n"/>
      <c r="P43" s="135" t="n"/>
      <c r="Q43" s="108" t="n"/>
    </row>
    <row r="44" ht="20" customHeight="1" s="1">
      <c r="A44" s="233" t="n"/>
      <c r="B44" s="234" t="n"/>
      <c r="C44" s="145" t="inlineStr">
        <is>
          <t>12MGP/22MGP</t>
        </is>
      </c>
      <c r="D44" s="146" t="inlineStr">
        <is>
          <t>住房公积金通知存款</t>
        </is>
      </c>
      <c r="E44" s="147" t="inlineStr">
        <is>
          <t>加</t>
        </is>
      </c>
      <c r="F44" s="258" t="n"/>
      <c r="G44" s="137" t="n"/>
      <c r="H44" s="138" t="n"/>
      <c r="I44" s="128" t="n"/>
      <c r="J44" s="135" t="n"/>
      <c r="K44" s="135" t="n"/>
      <c r="L44" s="135" t="n"/>
      <c r="M44" s="264" t="n"/>
      <c r="N44" s="137" t="n"/>
      <c r="O44" s="135" t="n"/>
      <c r="P44" s="135" t="n"/>
      <c r="Q44" s="108" t="n"/>
    </row>
    <row r="45" ht="20" customHeight="1" s="1">
      <c r="A45" s="233" t="n"/>
      <c r="B45" s="234" t="n"/>
      <c r="C45" s="145" t="inlineStr">
        <is>
          <t>12MH2/22MH2</t>
        </is>
      </c>
      <c r="D45" s="146" t="inlineStr">
        <is>
          <t>住房公积金协议存款</t>
        </is>
      </c>
      <c r="E45" s="147" t="inlineStr">
        <is>
          <t>加</t>
        </is>
      </c>
      <c r="F45" s="258" t="n"/>
      <c r="G45" s="137" t="n"/>
      <c r="H45" s="138" t="n"/>
      <c r="I45" s="128" t="n"/>
      <c r="J45" s="135" t="n"/>
      <c r="K45" s="135" t="n"/>
      <c r="L45" s="135" t="n"/>
      <c r="M45" s="264" t="n"/>
      <c r="N45" s="137" t="n"/>
      <c r="O45" s="135" t="n"/>
      <c r="P45" s="135" t="n"/>
      <c r="Q45" s="108" t="n"/>
    </row>
    <row r="46" ht="20" customHeight="1" s="1">
      <c r="A46" s="233" t="n"/>
      <c r="B46" s="234" t="n"/>
      <c r="C46" s="145" t="inlineStr">
        <is>
          <t>12MH9/22MH9</t>
        </is>
      </c>
      <c r="D46" s="146" t="inlineStr">
        <is>
          <t>住房公积金协定存款</t>
        </is>
      </c>
      <c r="E46" s="147" t="inlineStr">
        <is>
          <t>加</t>
        </is>
      </c>
      <c r="F46" s="258" t="n"/>
      <c r="G46" s="137" t="n"/>
      <c r="H46" s="138" t="n"/>
      <c r="I46" s="128" t="n"/>
      <c r="J46" s="135" t="n"/>
      <c r="K46" s="135" t="n"/>
      <c r="L46" s="135" t="n"/>
      <c r="M46" s="264" t="n"/>
      <c r="N46" s="137" t="n"/>
      <c r="O46" s="135" t="n"/>
      <c r="P46" s="135" t="n"/>
      <c r="Q46" s="108" t="n"/>
    </row>
    <row r="47" ht="20" customHeight="1" s="1">
      <c r="A47" s="233" t="n"/>
      <c r="B47" s="234" t="n"/>
      <c r="C47" s="145" t="inlineStr">
        <is>
          <t>12MHG/22MHG</t>
        </is>
      </c>
      <c r="D47" s="146" t="inlineStr">
        <is>
          <t>住房公积金保证金存款</t>
        </is>
      </c>
      <c r="E47" s="147" t="inlineStr">
        <is>
          <t>加</t>
        </is>
      </c>
      <c r="F47" s="258" t="n"/>
      <c r="G47" s="137" t="n"/>
      <c r="H47" s="138" t="n"/>
      <c r="I47" s="128" t="n"/>
      <c r="J47" s="135" t="n"/>
      <c r="K47" s="135" t="n"/>
      <c r="L47" s="135" t="n"/>
      <c r="M47" s="264" t="n"/>
      <c r="N47" s="137" t="n"/>
      <c r="O47" s="135" t="n"/>
      <c r="P47" s="135" t="n"/>
      <c r="Q47" s="108" t="n"/>
    </row>
    <row r="48" ht="20" customHeight="1" s="1">
      <c r="A48" s="233" t="n"/>
      <c r="B48" s="234" t="n"/>
      <c r="C48" s="145" t="inlineStr">
        <is>
          <t>12MHP/22MHP</t>
        </is>
      </c>
      <c r="D48" s="146" t="inlineStr">
        <is>
          <t>住房公积金结构性存款</t>
        </is>
      </c>
      <c r="E48" s="147" t="inlineStr">
        <is>
          <t>加</t>
        </is>
      </c>
      <c r="F48" s="258" t="n"/>
      <c r="G48" s="137" t="n"/>
      <c r="H48" s="138" t="n"/>
      <c r="I48" s="128" t="n"/>
      <c r="J48" s="135" t="n"/>
      <c r="K48" s="135" t="n"/>
      <c r="L48" s="135" t="n"/>
      <c r="M48" s="264" t="n"/>
      <c r="N48" s="137" t="n"/>
      <c r="O48" s="135" t="n"/>
      <c r="P48" s="135" t="n"/>
      <c r="Q48" s="108" t="n"/>
    </row>
    <row r="49" ht="20" customHeight="1" s="1">
      <c r="A49" s="233" t="n"/>
      <c r="B49" s="234" t="n"/>
      <c r="C49" s="145" t="inlineStr">
        <is>
          <t>12N17/22N17</t>
        </is>
      </c>
      <c r="D49" s="146" t="inlineStr">
        <is>
          <t>住房公积金信用卡存款</t>
        </is>
      </c>
      <c r="E49" s="147" t="inlineStr">
        <is>
          <t>加</t>
        </is>
      </c>
      <c r="F49" s="258" t="n"/>
      <c r="G49" s="137" t="n"/>
      <c r="H49" s="138" t="n"/>
      <c r="I49" s="128" t="n"/>
      <c r="J49" s="135" t="n"/>
      <c r="K49" s="135" t="n"/>
      <c r="L49" s="135" t="n"/>
      <c r="M49" s="264" t="n"/>
      <c r="N49" s="137" t="n"/>
      <c r="O49" s="135" t="n"/>
      <c r="P49" s="135" t="n"/>
      <c r="Q49" s="108" t="n"/>
    </row>
    <row r="50" ht="20" customHeight="1" s="1">
      <c r="A50" s="237" t="n"/>
      <c r="B50" s="238" t="n"/>
      <c r="C50" s="117" t="inlineStr">
        <is>
          <t>12MWA/22MWA</t>
        </is>
      </c>
      <c r="D50" s="118" t="inlineStr">
        <is>
          <t>境内住房公积金</t>
        </is>
      </c>
      <c r="E50" s="96" t="inlineStr">
        <is>
          <t>加</t>
        </is>
      </c>
      <c r="F50" s="258" t="n"/>
      <c r="G50" s="137" t="n"/>
      <c r="H50" s="138" t="n"/>
      <c r="I50" s="128" t="n"/>
      <c r="J50" s="135" t="n"/>
      <c r="K50" s="135" t="n"/>
      <c r="L50" s="135" t="n"/>
      <c r="M50" s="264" t="n"/>
      <c r="N50" s="137" t="n"/>
      <c r="O50" s="135" t="n"/>
      <c r="P50" s="135" t="n"/>
      <c r="Q50" s="108" t="n"/>
    </row>
    <row r="51" ht="20" customHeight="1" s="1">
      <c r="A51" s="35" t="n">
        <v>5</v>
      </c>
      <c r="B51" s="36" t="inlineStr">
        <is>
          <t>社保基金存款</t>
        </is>
      </c>
      <c r="C51" s="145" t="inlineStr">
        <is>
          <t>12MG7/22MG7</t>
        </is>
      </c>
      <c r="D51" s="146" t="inlineStr">
        <is>
          <t>社保基金活期存款</t>
        </is>
      </c>
      <c r="E51" s="147" t="inlineStr">
        <is>
          <t>加</t>
        </is>
      </c>
      <c r="F51" s="258" t="n"/>
      <c r="G51" s="137" t="n"/>
      <c r="H51" s="138" t="n"/>
      <c r="I51" s="128" t="n"/>
      <c r="J51" s="135" t="n"/>
      <c r="K51" s="135" t="n"/>
      <c r="L51" s="135" t="n"/>
      <c r="M51" s="264" t="n"/>
      <c r="N51" s="137" t="n"/>
      <c r="O51" s="135" t="n"/>
      <c r="P51" s="135" t="n"/>
      <c r="Q51" s="108" t="n"/>
    </row>
    <row r="52" ht="20" customHeight="1" s="1">
      <c r="A52" s="233" t="n"/>
      <c r="B52" s="234" t="n"/>
      <c r="C52" s="145" t="inlineStr">
        <is>
          <t>12MGE/22MGE</t>
        </is>
      </c>
      <c r="D52" s="146" t="inlineStr">
        <is>
          <t>社保基金定期存款</t>
        </is>
      </c>
      <c r="E52" s="147" t="inlineStr">
        <is>
          <t>加</t>
        </is>
      </c>
      <c r="F52" s="258" t="n"/>
      <c r="G52" s="138" t="n"/>
      <c r="H52" s="135" t="n"/>
      <c r="I52" s="128" t="n"/>
      <c r="J52" s="135" t="n"/>
      <c r="K52" s="135" t="n"/>
      <c r="L52" s="135" t="n"/>
      <c r="M52" s="264" t="n"/>
      <c r="N52" s="137" t="n"/>
      <c r="O52" s="135" t="n"/>
      <c r="P52" s="135" t="n"/>
      <c r="Q52" s="108" t="n"/>
    </row>
    <row r="53" ht="20" customHeight="1" s="1">
      <c r="A53" s="233" t="n"/>
      <c r="B53" s="234" t="n"/>
      <c r="C53" s="145" t="inlineStr">
        <is>
          <t>12MGM/22MGM</t>
        </is>
      </c>
      <c r="D53" s="146" t="inlineStr">
        <is>
          <t>社保基金通知存款</t>
        </is>
      </c>
      <c r="E53" s="147" t="inlineStr">
        <is>
          <t>加</t>
        </is>
      </c>
      <c r="F53" s="258" t="n"/>
      <c r="G53" s="138" t="n"/>
      <c r="H53" s="138" t="n"/>
      <c r="I53" s="128" t="n"/>
      <c r="J53" s="135" t="n"/>
      <c r="K53" s="135" t="n"/>
      <c r="L53" s="135" t="n"/>
      <c r="M53" s="264" t="n"/>
      <c r="N53" s="137" t="n"/>
      <c r="O53" s="135" t="n"/>
      <c r="P53" s="135" t="n"/>
      <c r="Q53" s="108" t="n"/>
    </row>
    <row r="54" ht="20" customHeight="1" s="1">
      <c r="A54" s="233" t="n"/>
      <c r="B54" s="234" t="n"/>
      <c r="C54" s="145" t="inlineStr">
        <is>
          <t>12MGU/22MGU</t>
        </is>
      </c>
      <c r="D54" s="146" t="inlineStr">
        <is>
          <t>社保基金协议存款</t>
        </is>
      </c>
      <c r="E54" s="147" t="inlineStr">
        <is>
          <t>加</t>
        </is>
      </c>
      <c r="F54" s="258" t="n"/>
      <c r="G54" s="137" t="n"/>
      <c r="H54" s="138" t="n"/>
      <c r="I54" s="128" t="n"/>
      <c r="J54" s="135" t="n"/>
      <c r="K54" s="135" t="n"/>
      <c r="L54" s="135" t="n"/>
      <c r="M54" s="264" t="n"/>
      <c r="N54" s="137" t="n"/>
      <c r="O54" s="135" t="n"/>
      <c r="P54" s="135" t="n"/>
      <c r="Q54" s="108" t="n"/>
    </row>
    <row r="55" ht="20" customHeight="1" s="1">
      <c r="A55" s="233" t="n"/>
      <c r="B55" s="234" t="n"/>
      <c r="C55" s="145" t="inlineStr">
        <is>
          <t>12MH7/22MH7</t>
        </is>
      </c>
      <c r="D55" s="146" t="inlineStr">
        <is>
          <t>社保基金协定存款</t>
        </is>
      </c>
      <c r="E55" s="147" t="inlineStr">
        <is>
          <t>加</t>
        </is>
      </c>
      <c r="F55" s="258" t="n"/>
      <c r="G55" s="137" t="n"/>
      <c r="H55" s="138" t="n"/>
      <c r="I55" s="128" t="n"/>
      <c r="J55" s="135" t="n"/>
      <c r="K55" s="135" t="n"/>
      <c r="L55" s="135" t="n"/>
      <c r="M55" s="264" t="n"/>
      <c r="N55" s="137" t="n"/>
      <c r="O55" s="135" t="n"/>
      <c r="P55" s="135" t="n"/>
      <c r="Q55" s="108" t="n"/>
    </row>
    <row r="56" ht="20" customHeight="1" s="1">
      <c r="A56" s="233" t="n"/>
      <c r="B56" s="234" t="n"/>
      <c r="C56" s="145" t="inlineStr">
        <is>
          <t>12MHE/22MHE</t>
        </is>
      </c>
      <c r="D56" s="146" t="inlineStr">
        <is>
          <t>社保基金保证金存款</t>
        </is>
      </c>
      <c r="E56" s="147" t="inlineStr">
        <is>
          <t>加</t>
        </is>
      </c>
      <c r="F56" s="258" t="n"/>
      <c r="G56" s="137" t="n"/>
      <c r="H56" s="138" t="n"/>
      <c r="I56" s="128" t="n"/>
      <c r="J56" s="135" t="n"/>
      <c r="K56" s="135" t="n"/>
      <c r="L56" s="135" t="n"/>
      <c r="M56" s="264" t="n"/>
      <c r="N56" s="137" t="n"/>
      <c r="O56" s="135" t="n"/>
      <c r="P56" s="135" t="n"/>
      <c r="Q56" s="108" t="n"/>
    </row>
    <row r="57" ht="20" customHeight="1" s="1">
      <c r="A57" s="233" t="n"/>
      <c r="B57" s="234" t="n"/>
      <c r="C57" s="145" t="inlineStr">
        <is>
          <t>12MHM/22MHM</t>
        </is>
      </c>
      <c r="D57" s="146" t="inlineStr">
        <is>
          <t>社保基金结构性存款</t>
        </is>
      </c>
      <c r="E57" s="147" t="inlineStr">
        <is>
          <t>加</t>
        </is>
      </c>
      <c r="F57" s="258" t="n"/>
      <c r="G57" s="137" t="n"/>
      <c r="H57" s="138" t="n"/>
      <c r="I57" s="128" t="n"/>
      <c r="J57" s="135" t="n"/>
      <c r="K57" s="135" t="n"/>
      <c r="L57" s="135" t="n"/>
      <c r="M57" s="264" t="n"/>
      <c r="N57" s="137" t="n"/>
      <c r="O57" s="135" t="n"/>
      <c r="P57" s="135" t="n"/>
      <c r="Q57" s="108" t="n"/>
    </row>
    <row r="58" ht="20" customHeight="1" s="1">
      <c r="A58" s="233" t="n"/>
      <c r="B58" s="234" t="n"/>
      <c r="C58" s="145" t="inlineStr">
        <is>
          <t>12N15/22N15</t>
        </is>
      </c>
      <c r="D58" s="146" t="inlineStr">
        <is>
          <t>社保基金信用卡存款</t>
        </is>
      </c>
      <c r="E58" s="147" t="inlineStr">
        <is>
          <t>加</t>
        </is>
      </c>
      <c r="F58" s="258" t="n"/>
      <c r="G58" s="137" t="n"/>
      <c r="H58" s="138" t="n"/>
      <c r="I58" s="128" t="n"/>
      <c r="J58" s="135" t="n"/>
      <c r="K58" s="135" t="n"/>
      <c r="L58" s="135" t="n"/>
      <c r="M58" s="264" t="n"/>
      <c r="N58" s="137" t="n"/>
      <c r="O58" s="135" t="n"/>
      <c r="P58" s="135" t="n"/>
      <c r="Q58" s="108" t="n"/>
    </row>
    <row r="59" ht="20" customHeight="1" s="1">
      <c r="A59" s="237" t="n"/>
      <c r="B59" s="238" t="n"/>
      <c r="C59" s="117" t="inlineStr">
        <is>
          <t>12MW8/22MW8</t>
        </is>
      </c>
      <c r="D59" s="118" t="inlineStr">
        <is>
          <t>境内社保基金</t>
        </is>
      </c>
      <c r="E59" s="96" t="inlineStr">
        <is>
          <t>加</t>
        </is>
      </c>
      <c r="F59" s="258" t="n"/>
      <c r="G59" s="149" t="n"/>
      <c r="H59" s="150" t="n"/>
      <c r="I59" s="151" t="n"/>
      <c r="J59" s="152" t="n"/>
      <c r="K59" s="152" t="n"/>
      <c r="L59" s="152" t="n"/>
      <c r="M59" s="265" t="n"/>
      <c r="N59" s="137" t="n"/>
      <c r="O59" s="135" t="n"/>
      <c r="P59" s="135" t="n"/>
      <c r="Q59" s="108" t="n"/>
    </row>
    <row r="60" ht="20" customHeight="1" s="1">
      <c r="A60" s="35" t="n">
        <v>6</v>
      </c>
      <c r="B60" s="36" t="inlineStr">
        <is>
          <t>（三）财政性存款</t>
        </is>
      </c>
      <c r="C60" s="140" t="n"/>
      <c r="D60" s="141" t="inlineStr">
        <is>
          <t>1. 国库定期存款</t>
        </is>
      </c>
      <c r="E60" s="96" t="n"/>
      <c r="F60" s="266" t="n"/>
      <c r="G60" s="155" t="n">
        <v>200602</v>
      </c>
      <c r="H60" s="156" t="inlineStr">
        <is>
          <t>财政性存款-国库定期存款</t>
        </is>
      </c>
      <c r="I60" s="157" t="n"/>
      <c r="J60" s="158" t="n">
        <v>22310602</v>
      </c>
      <c r="K60" s="159" t="inlineStr">
        <is>
          <t>国库定期存款应付利息</t>
        </is>
      </c>
      <c r="L60" s="160" t="n"/>
      <c r="M60" s="267" t="n"/>
      <c r="N60" s="137" t="n"/>
      <c r="O60" s="135" t="n"/>
      <c r="P60" s="135" t="n"/>
      <c r="Q60" s="108" t="n"/>
    </row>
    <row r="61" ht="20" customHeight="1" s="1">
      <c r="A61" s="237" t="n"/>
      <c r="B61" s="238" t="n"/>
      <c r="C61" s="140" t="n"/>
      <c r="D61" s="141" t="inlineStr">
        <is>
          <t>2. 代理财政性存款</t>
        </is>
      </c>
      <c r="E61" s="96" t="n"/>
      <c r="F61" s="266" t="n"/>
      <c r="G61" s="162" t="n">
        <v>2007</v>
      </c>
      <c r="H61" s="86" t="inlineStr">
        <is>
          <t>待结算财政款项</t>
        </is>
      </c>
      <c r="I61" s="163" t="n"/>
      <c r="J61" s="164" t="n">
        <v>223107</v>
      </c>
      <c r="K61" s="165" t="inlineStr">
        <is>
          <t>应付利息-待结算财政款项应付利息</t>
        </is>
      </c>
      <c r="L61" s="135" t="n"/>
      <c r="M61" s="264" t="n"/>
      <c r="N61" s="137" t="n"/>
      <c r="O61" s="135" t="n"/>
      <c r="P61" s="135" t="n"/>
      <c r="Q61" s="108" t="n"/>
    </row>
    <row r="62" ht="20" customHeight="1" s="1">
      <c r="A62" s="35" t="n">
        <v>7</v>
      </c>
      <c r="B62" s="166" t="inlineStr">
        <is>
          <t>1. 国库定期存款</t>
        </is>
      </c>
      <c r="C62" s="46" t="inlineStr">
        <is>
          <t>12MIS/22MIS</t>
        </is>
      </c>
      <c r="D62" s="167" t="inlineStr">
        <is>
          <t>国库定期存款</t>
        </is>
      </c>
      <c r="E62" s="190" t="inlineStr">
        <is>
          <t>加</t>
        </is>
      </c>
      <c r="F62" s="258" t="n"/>
      <c r="G62" s="168" t="n"/>
      <c r="H62" s="169" t="n"/>
      <c r="I62" s="128" t="n"/>
      <c r="J62" s="170" t="n"/>
      <c r="K62" s="77" t="n"/>
      <c r="L62" s="135" t="n"/>
      <c r="M62" s="264" t="n"/>
      <c r="N62" s="137" t="n"/>
      <c r="O62" s="135" t="n"/>
      <c r="P62" s="135" t="n"/>
      <c r="Q62" s="108" t="n"/>
    </row>
    <row r="63" ht="20" customHeight="1" s="1">
      <c r="A63" s="35" t="n">
        <v>8</v>
      </c>
      <c r="B63" s="166" t="inlineStr">
        <is>
          <t>2. 代理财政性存款</t>
        </is>
      </c>
      <c r="C63" s="46" t="inlineStr">
        <is>
          <t>12MIM/22MIM</t>
        </is>
      </c>
      <c r="D63" s="167" t="inlineStr">
        <is>
          <t>代理财政存款</t>
        </is>
      </c>
      <c r="E63" s="190" t="inlineStr">
        <is>
          <t>加</t>
        </is>
      </c>
      <c r="F63" s="258" t="n"/>
      <c r="G63" s="171" t="n"/>
      <c r="H63" s="172" t="n"/>
      <c r="I63" s="173" t="n"/>
      <c r="J63" s="174" t="n"/>
      <c r="K63" s="175" t="n"/>
      <c r="L63" s="176" t="n"/>
      <c r="M63" s="268" t="n"/>
      <c r="N63" s="137" t="n"/>
      <c r="O63" s="135" t="n"/>
      <c r="P63" s="135" t="n"/>
      <c r="Q63" s="108" t="n"/>
    </row>
    <row r="64" ht="20" customHeight="1" s="1">
      <c r="A64" s="35" t="n">
        <v>9</v>
      </c>
      <c r="B64" s="36" t="inlineStr">
        <is>
          <t>（四）非存款类金融机构存款</t>
        </is>
      </c>
      <c r="C64" s="117" t="inlineStr">
        <is>
          <t>12MKG/22MKG</t>
        </is>
      </c>
      <c r="D64" s="118" t="inlineStr">
        <is>
          <t>境内银行业非存款类金融机构存放</t>
        </is>
      </c>
      <c r="E64" s="96" t="inlineStr">
        <is>
          <t>加</t>
        </is>
      </c>
      <c r="F64" s="258" t="n"/>
      <c r="G64" s="178" t="n">
        <v>201705</v>
      </c>
      <c r="H64" s="179" t="inlineStr">
        <is>
          <t>保险公司存放</t>
        </is>
      </c>
      <c r="I64" s="180" t="n"/>
      <c r="J64" s="181" t="n">
        <v>22311005</v>
      </c>
      <c r="K64" s="182" t="inlineStr">
        <is>
          <t>保险公司存放应付利息</t>
        </is>
      </c>
      <c r="L64" s="183" t="n"/>
      <c r="M64" s="269" t="n"/>
      <c r="N64" s="137" t="n"/>
      <c r="O64" s="135" t="n"/>
      <c r="P64" s="135" t="n"/>
      <c r="Q64" s="108" t="n"/>
    </row>
    <row r="65" ht="20" customHeight="1" s="1">
      <c r="A65" s="233" t="n"/>
      <c r="B65" s="234" t="n"/>
      <c r="C65" s="117" t="inlineStr">
        <is>
          <t>12MKH/22MKH</t>
        </is>
      </c>
      <c r="D65" s="118" t="inlineStr">
        <is>
          <t>境内证券业金融机构存放</t>
        </is>
      </c>
      <c r="E65" s="96" t="inlineStr">
        <is>
          <t>加</t>
        </is>
      </c>
      <c r="F65" s="258" t="n"/>
      <c r="G65" s="125" t="n">
        <v>201799</v>
      </c>
      <c r="H65" s="185" t="inlineStr">
        <is>
          <t>其他存放</t>
        </is>
      </c>
      <c r="I65" s="128" t="n"/>
      <c r="J65" s="186" t="n">
        <v>22311099</v>
      </c>
      <c r="K65" s="187" t="inlineStr">
        <is>
          <t>其他存放应付利息</t>
        </is>
      </c>
      <c r="L65" s="9" t="n"/>
      <c r="M65" s="264" t="n"/>
      <c r="N65" s="137" t="n"/>
      <c r="O65" s="135" t="n"/>
      <c r="P65" s="135" t="n"/>
      <c r="Q65" s="108" t="n"/>
    </row>
    <row r="66" ht="20" customHeight="1" s="1">
      <c r="A66" s="233" t="n"/>
      <c r="B66" s="234" t="n"/>
      <c r="C66" s="117" t="inlineStr">
        <is>
          <t>12MKP/22MKP</t>
        </is>
      </c>
      <c r="D66" s="118" t="inlineStr">
        <is>
          <t>境内保险业金融机构存放</t>
        </is>
      </c>
      <c r="E66" s="96" t="inlineStr">
        <is>
          <t>加</t>
        </is>
      </c>
      <c r="F66" s="258" t="n"/>
      <c r="G66" s="137" t="n"/>
      <c r="H66" s="138" t="n"/>
      <c r="I66" s="128" t="n"/>
      <c r="J66" s="135" t="n"/>
      <c r="K66" s="135" t="n"/>
      <c r="L66" s="135" t="n"/>
      <c r="M66" s="264" t="n"/>
      <c r="N66" s="137" t="n"/>
      <c r="O66" s="135" t="n"/>
      <c r="P66" s="135" t="n"/>
      <c r="Q66" s="108" t="n"/>
    </row>
    <row r="67" ht="20" customHeight="1" s="1">
      <c r="A67" s="233" t="n"/>
      <c r="B67" s="234" t="n"/>
      <c r="C67" s="117" t="inlineStr">
        <is>
          <t>12MKQ/22MKQ</t>
        </is>
      </c>
      <c r="D67" s="118" t="inlineStr">
        <is>
          <t>境内结算清算类金融机构存放</t>
        </is>
      </c>
      <c r="E67" s="96" t="inlineStr">
        <is>
          <t>加</t>
        </is>
      </c>
      <c r="F67" s="258" t="n"/>
      <c r="G67" s="137" t="n"/>
      <c r="H67" s="138" t="n"/>
      <c r="I67" s="128" t="n"/>
      <c r="J67" s="135" t="n"/>
      <c r="K67" s="135" t="n"/>
      <c r="L67" s="135" t="n"/>
      <c r="M67" s="264" t="n"/>
      <c r="N67" s="137" t="n"/>
      <c r="O67" s="135" t="n"/>
      <c r="P67" s="135" t="n"/>
      <c r="Q67" s="108" t="n"/>
    </row>
    <row r="68" ht="20" customHeight="1" s="1">
      <c r="A68" s="233" t="n"/>
      <c r="B68" s="234" t="n"/>
      <c r="C68" s="117" t="inlineStr">
        <is>
          <t>12MKW/22MKW</t>
        </is>
      </c>
      <c r="D68" s="118" t="inlineStr">
        <is>
          <t>境内金融控股公司存放</t>
        </is>
      </c>
      <c r="E68" s="96" t="inlineStr">
        <is>
          <t>加</t>
        </is>
      </c>
      <c r="F68" s="258" t="n"/>
      <c r="G68" s="137" t="n"/>
      <c r="H68" s="138" t="n"/>
      <c r="I68" s="128" t="n"/>
      <c r="J68" s="135" t="n"/>
      <c r="K68" s="135" t="n"/>
      <c r="L68" s="135" t="n"/>
      <c r="M68" s="264" t="n"/>
      <c r="N68" s="137" t="n"/>
      <c r="O68" s="135" t="n"/>
      <c r="P68" s="135" t="n"/>
      <c r="Q68" s="108" t="n"/>
    </row>
    <row r="69" ht="20" customHeight="1" s="1">
      <c r="A69" s="233" t="n"/>
      <c r="B69" s="234" t="n"/>
      <c r="C69" s="117" t="inlineStr">
        <is>
          <t>12MKY/22MKY</t>
        </is>
      </c>
      <c r="D69" s="118" t="inlineStr">
        <is>
          <t>境内特殊目的载体存放</t>
        </is>
      </c>
      <c r="E69" s="96" t="inlineStr">
        <is>
          <t>加</t>
        </is>
      </c>
      <c r="F69" s="258" t="n"/>
      <c r="G69" s="137" t="n"/>
      <c r="H69" s="138" t="n"/>
      <c r="I69" s="128" t="n"/>
      <c r="J69" s="135" t="n"/>
      <c r="K69" s="135" t="n"/>
      <c r="L69" s="135" t="n"/>
      <c r="M69" s="264" t="n"/>
      <c r="N69" s="137" t="n"/>
      <c r="O69" s="135" t="n"/>
      <c r="P69" s="135" t="n"/>
      <c r="Q69" s="108" t="n"/>
    </row>
    <row r="70" ht="20" customHeight="1" s="1">
      <c r="A70" s="233" t="n"/>
      <c r="B70" s="234" t="n"/>
      <c r="C70" s="117" t="inlineStr">
        <is>
          <t>12MM2/22MM2</t>
        </is>
      </c>
      <c r="D70" s="118" t="inlineStr">
        <is>
          <t>境内其他金融机构存放</t>
        </is>
      </c>
      <c r="E70" s="96" t="inlineStr">
        <is>
          <t>加</t>
        </is>
      </c>
      <c r="F70" s="258" t="n"/>
      <c r="G70" s="137" t="n"/>
      <c r="H70" s="138" t="n"/>
      <c r="I70" s="128" t="n"/>
      <c r="J70" s="135" t="n"/>
      <c r="K70" s="135" t="n"/>
      <c r="L70" s="135" t="n"/>
      <c r="M70" s="264" t="n"/>
      <c r="N70" s="137" t="n"/>
      <c r="O70" s="135" t="n"/>
      <c r="P70" s="135" t="n"/>
      <c r="Q70" s="108" t="n"/>
    </row>
    <row r="71" ht="20" customHeight="1" s="1">
      <c r="A71" s="233" t="n"/>
      <c r="B71" s="234" t="n"/>
      <c r="C71" s="117" t="inlineStr">
        <is>
          <t>12MMG/22MMG</t>
        </is>
      </c>
      <c r="D71" s="118" t="inlineStr">
        <is>
          <t>境内银行业非存款类金融机构存放</t>
        </is>
      </c>
      <c r="E71" s="96" t="inlineStr">
        <is>
          <t>加</t>
        </is>
      </c>
      <c r="F71" s="258" t="n"/>
      <c r="G71" s="137" t="n"/>
      <c r="H71" s="138" t="n"/>
      <c r="I71" s="128" t="n"/>
      <c r="J71" s="135" t="n"/>
      <c r="K71" s="135" t="n"/>
      <c r="L71" s="135" t="n"/>
      <c r="M71" s="264" t="n"/>
      <c r="N71" s="137" t="n"/>
      <c r="O71" s="135" t="n"/>
      <c r="P71" s="135" t="n"/>
      <c r="Q71" s="108" t="n"/>
    </row>
    <row r="72" ht="20" customHeight="1" s="1">
      <c r="A72" s="233" t="n"/>
      <c r="B72" s="234" t="n"/>
      <c r="C72" s="117" t="inlineStr">
        <is>
          <t>12MMH/22MMH</t>
        </is>
      </c>
      <c r="D72" s="118" t="inlineStr">
        <is>
          <t>境内证券业金融机构存放</t>
        </is>
      </c>
      <c r="E72" s="96" t="inlineStr">
        <is>
          <t>加</t>
        </is>
      </c>
      <c r="F72" s="258" t="n"/>
      <c r="G72" s="137" t="n"/>
      <c r="H72" s="138" t="n"/>
      <c r="I72" s="128" t="n"/>
      <c r="J72" s="135" t="n"/>
      <c r="K72" s="135" t="n"/>
      <c r="L72" s="135" t="n"/>
      <c r="M72" s="264" t="n"/>
      <c r="N72" s="137" t="n"/>
      <c r="O72" s="135" t="n"/>
      <c r="P72" s="135" t="n"/>
      <c r="Q72" s="108" t="n"/>
    </row>
    <row r="73" ht="20" customHeight="1" s="1">
      <c r="A73" s="233" t="n"/>
      <c r="B73" s="234" t="n"/>
      <c r="C73" s="117" t="inlineStr">
        <is>
          <t>12MMJ/22MMJ</t>
        </is>
      </c>
      <c r="D73" s="118" t="inlineStr">
        <is>
          <t>境内保险业金融机构存放</t>
        </is>
      </c>
      <c r="E73" s="96" t="inlineStr">
        <is>
          <t>加</t>
        </is>
      </c>
      <c r="F73" s="258" t="n"/>
      <c r="G73" s="137" t="n"/>
      <c r="H73" s="138" t="n"/>
      <c r="I73" s="128" t="n"/>
      <c r="J73" s="135" t="n"/>
      <c r="K73" s="135" t="n"/>
      <c r="L73" s="135" t="n"/>
      <c r="M73" s="264" t="n"/>
      <c r="N73" s="137" t="n"/>
      <c r="O73" s="135" t="n"/>
      <c r="P73" s="135" t="n"/>
      <c r="Q73" s="108" t="n"/>
    </row>
    <row r="74" ht="20" customHeight="1" s="1">
      <c r="A74" s="233" t="n"/>
      <c r="B74" s="234" t="n"/>
      <c r="C74" s="117" t="inlineStr">
        <is>
          <t>12MMK/22MMK</t>
        </is>
      </c>
      <c r="D74" s="118" t="inlineStr">
        <is>
          <t>境内结算清算类金融机构存放</t>
        </is>
      </c>
      <c r="E74" s="96" t="inlineStr">
        <is>
          <t>加</t>
        </is>
      </c>
      <c r="F74" s="258" t="n"/>
      <c r="G74" s="137" t="n"/>
      <c r="H74" s="138" t="n"/>
      <c r="I74" s="128" t="n"/>
      <c r="J74" s="135" t="n"/>
      <c r="K74" s="135" t="n"/>
      <c r="L74" s="135" t="n"/>
      <c r="M74" s="264" t="n"/>
      <c r="N74" s="137" t="n"/>
      <c r="O74" s="135" t="n"/>
      <c r="P74" s="135" t="n"/>
      <c r="Q74" s="108" t="n"/>
    </row>
    <row r="75" ht="20" customHeight="1" s="1">
      <c r="A75" s="233" t="n"/>
      <c r="B75" s="234" t="n"/>
      <c r="C75" s="117" t="inlineStr">
        <is>
          <t>12MMM/22MMM</t>
        </is>
      </c>
      <c r="D75" s="118" t="inlineStr">
        <is>
          <t>境内金融控股公司存放</t>
        </is>
      </c>
      <c r="E75" s="96" t="inlineStr">
        <is>
          <t>加</t>
        </is>
      </c>
      <c r="F75" s="258" t="n"/>
      <c r="G75" s="137" t="n"/>
      <c r="H75" s="138" t="n"/>
      <c r="I75" s="128" t="n"/>
      <c r="J75" s="135" t="n"/>
      <c r="K75" s="135" t="n"/>
      <c r="L75" s="135" t="n"/>
      <c r="M75" s="264" t="n"/>
      <c r="N75" s="137" t="n"/>
      <c r="O75" s="135" t="n"/>
      <c r="P75" s="135" t="n"/>
      <c r="Q75" s="108" t="n"/>
    </row>
    <row r="76" ht="20" customHeight="1" s="1">
      <c r="A76" s="233" t="n"/>
      <c r="B76" s="234" t="n"/>
      <c r="C76" s="117" t="inlineStr">
        <is>
          <t>12MMP/22MMP</t>
        </is>
      </c>
      <c r="D76" s="118" t="inlineStr">
        <is>
          <t>境内特定目的载体存放</t>
        </is>
      </c>
      <c r="E76" s="96" t="inlineStr">
        <is>
          <t>加</t>
        </is>
      </c>
      <c r="F76" s="258" t="n"/>
      <c r="G76" s="137" t="n"/>
      <c r="H76" s="138" t="n"/>
      <c r="I76" s="128" t="n"/>
      <c r="J76" s="135" t="n"/>
      <c r="K76" s="135" t="n"/>
      <c r="L76" s="135" t="n"/>
      <c r="M76" s="264" t="n"/>
      <c r="N76" s="137" t="n"/>
      <c r="O76" s="135" t="n"/>
      <c r="P76" s="135" t="n"/>
      <c r="Q76" s="108" t="n"/>
    </row>
    <row r="77" ht="20" customHeight="1" s="1">
      <c r="A77" s="233" t="n"/>
      <c r="B77" s="234" t="n"/>
      <c r="C77" s="117" t="inlineStr">
        <is>
          <t>12MMQ/22MMQ</t>
        </is>
      </c>
      <c r="D77" s="118" t="inlineStr">
        <is>
          <t>境内其他金融机构存放</t>
        </is>
      </c>
      <c r="E77" s="96" t="inlineStr">
        <is>
          <t>加</t>
        </is>
      </c>
      <c r="F77" s="258" t="n"/>
      <c r="G77" s="137" t="n"/>
      <c r="H77" s="138" t="n"/>
      <c r="I77" s="128" t="n"/>
      <c r="J77" s="135" t="n"/>
      <c r="K77" s="135" t="n"/>
      <c r="L77" s="135" t="n"/>
      <c r="M77" s="264" t="n"/>
      <c r="N77" s="137" t="n"/>
      <c r="O77" s="135" t="n"/>
      <c r="P77" s="135" t="n"/>
      <c r="Q77" s="108" t="n"/>
    </row>
    <row r="78" ht="20" customHeight="1" s="1">
      <c r="A78" s="233" t="n"/>
      <c r="B78" s="234" t="n"/>
      <c r="C78" s="117" t="inlineStr">
        <is>
          <t>12MMW/22MMW</t>
        </is>
      </c>
      <c r="D78" s="118" t="inlineStr">
        <is>
          <t>其中：外汇储备委托贷款资金</t>
        </is>
      </c>
      <c r="E78" s="96" t="inlineStr">
        <is>
          <t>加</t>
        </is>
      </c>
      <c r="F78" s="258" t="n"/>
      <c r="G78" s="137" t="n"/>
      <c r="H78" s="138" t="n"/>
      <c r="I78" s="128" t="n"/>
      <c r="J78" s="135" t="n"/>
      <c r="K78" s="135" t="n"/>
      <c r="L78" s="135" t="n"/>
      <c r="M78" s="264" t="n"/>
      <c r="N78" s="137" t="n"/>
      <c r="O78" s="135" t="n"/>
      <c r="P78" s="135" t="n"/>
      <c r="Q78" s="108" t="n"/>
    </row>
    <row r="79" ht="20" customHeight="1" s="1">
      <c r="A79" s="233" t="n"/>
      <c r="B79" s="234" t="n"/>
      <c r="C79" s="117" t="inlineStr">
        <is>
          <t>12MMX/22MMX</t>
        </is>
      </c>
      <c r="D79" s="118" t="inlineStr">
        <is>
          <t>其中：外汇储备委托贷款资金</t>
        </is>
      </c>
      <c r="E79" s="96" t="inlineStr">
        <is>
          <t>加</t>
        </is>
      </c>
      <c r="F79" s="258" t="n"/>
      <c r="G79" s="137" t="n"/>
      <c r="H79" s="138" t="n"/>
      <c r="I79" s="128" t="n"/>
      <c r="J79" s="135" t="n"/>
      <c r="K79" s="135" t="n"/>
      <c r="L79" s="135" t="n"/>
      <c r="M79" s="264" t="n"/>
      <c r="N79" s="137" t="n"/>
      <c r="O79" s="135" t="n"/>
      <c r="P79" s="135" t="n"/>
      <c r="Q79" s="108" t="n"/>
    </row>
    <row r="80" ht="25" customHeight="1" s="1">
      <c r="A80" s="233" t="n"/>
      <c r="B80" s="234" t="n"/>
      <c r="C80" s="188" t="inlineStr">
        <is>
          <t>12MW2/22MW2</t>
        </is>
      </c>
      <c r="D80" s="189" t="inlineStr">
        <is>
          <t>境内银行业非存款类金融机构</t>
        </is>
      </c>
      <c r="E80" s="190" t="inlineStr">
        <is>
          <t>加</t>
        </is>
      </c>
      <c r="F80" s="258" t="n"/>
      <c r="G80" s="137" t="n"/>
      <c r="H80" s="138" t="n"/>
      <c r="I80" s="128" t="n"/>
      <c r="J80" s="135" t="n"/>
      <c r="K80" s="135" t="n"/>
      <c r="L80" s="135" t="n"/>
      <c r="M80" s="264" t="n"/>
      <c r="N80" s="137" t="n"/>
      <c r="O80" s="135" t="n"/>
      <c r="P80" s="135" t="n"/>
      <c r="Q80" s="108" t="n"/>
    </row>
    <row r="81" ht="25" customHeight="1" s="1">
      <c r="A81" s="233" t="n"/>
      <c r="B81" s="234" t="n"/>
      <c r="C81" s="188" t="inlineStr">
        <is>
          <t>12MW3/22MW3</t>
        </is>
      </c>
      <c r="D81" s="189" t="inlineStr">
        <is>
          <t>境内其他金融机构</t>
        </is>
      </c>
      <c r="E81" s="190" t="inlineStr">
        <is>
          <t>加</t>
        </is>
      </c>
      <c r="F81" s="258" t="n"/>
      <c r="G81" s="137" t="n"/>
      <c r="H81" s="138" t="n"/>
      <c r="I81" s="128" t="n"/>
      <c r="J81" s="135" t="n"/>
      <c r="K81" s="135" t="n"/>
      <c r="L81" s="135" t="n"/>
      <c r="M81" s="264" t="n"/>
      <c r="N81" s="137" t="n"/>
      <c r="O81" s="135" t="n"/>
      <c r="P81" s="135" t="n"/>
      <c r="Q81" s="108" t="n"/>
    </row>
    <row r="82" ht="25" customHeight="1" s="1">
      <c r="A82" s="237" t="n"/>
      <c r="B82" s="238" t="n"/>
      <c r="C82" s="188" t="inlineStr">
        <is>
          <t>12MWM/22MWM</t>
        </is>
      </c>
      <c r="D82" s="189" t="inlineStr">
        <is>
          <t>境内其他机构</t>
        </is>
      </c>
      <c r="E82" s="190" t="inlineStr">
        <is>
          <t>加</t>
        </is>
      </c>
      <c r="F82" s="258" t="n"/>
      <c r="G82" s="149" t="n"/>
      <c r="H82" s="150" t="n"/>
      <c r="I82" s="151" t="n"/>
      <c r="J82" s="152" t="n"/>
      <c r="K82" s="152" t="n"/>
      <c r="L82" s="152" t="n"/>
      <c r="M82" s="265" t="n"/>
      <c r="N82" s="137" t="n"/>
      <c r="O82" s="135" t="n"/>
      <c r="P82" s="135" t="n"/>
      <c r="Q82" s="108" t="n"/>
    </row>
    <row r="83" ht="20" customHeight="1" s="1">
      <c r="A83" s="239" t="n">
        <v>10</v>
      </c>
      <c r="B83" s="270" t="inlineStr">
        <is>
          <t>二、境外存款</t>
        </is>
      </c>
      <c r="C83" s="46" t="n"/>
      <c r="D83" s="167" t="inlineStr">
        <is>
          <t>（一）个人存款</t>
        </is>
      </c>
      <c r="E83" s="189" t="n"/>
      <c r="F83" s="266" t="n"/>
      <c r="G83" s="192" t="n"/>
      <c r="H83" s="193" t="n"/>
      <c r="I83" s="194" t="n"/>
      <c r="J83" s="160" t="n"/>
      <c r="K83" s="160" t="n"/>
      <c r="L83" s="160" t="n"/>
      <c r="M83" s="267" t="n"/>
      <c r="N83" s="137" t="n"/>
      <c r="O83" s="135" t="n"/>
      <c r="P83" s="135" t="n"/>
      <c r="Q83" s="108" t="n"/>
    </row>
    <row r="84" ht="20" customHeight="1" s="1">
      <c r="A84" s="233" t="n"/>
      <c r="B84" s="271" t="n"/>
      <c r="C84" s="46" t="n"/>
      <c r="D84" s="167" t="inlineStr">
        <is>
          <t>（二）单位存款</t>
        </is>
      </c>
      <c r="E84" s="189" t="n"/>
      <c r="F84" s="266" t="n"/>
      <c r="G84" s="137" t="n"/>
      <c r="H84" s="138" t="n"/>
      <c r="I84" s="128" t="n"/>
      <c r="J84" s="135" t="n"/>
      <c r="K84" s="135" t="n"/>
      <c r="L84" s="135" t="n"/>
      <c r="M84" s="264" t="n"/>
      <c r="N84" s="137" t="n"/>
      <c r="O84" s="135" t="n"/>
      <c r="P84" s="135" t="n"/>
      <c r="Q84" s="108" t="n"/>
    </row>
    <row r="85" ht="20" customHeight="1" s="1">
      <c r="A85" s="237" t="n"/>
      <c r="B85" s="272" t="n"/>
      <c r="C85" s="46" t="n"/>
      <c r="D85" s="167" t="inlineStr">
        <is>
          <t>（三）境外同业存放</t>
        </is>
      </c>
      <c r="E85" s="189" t="n"/>
      <c r="F85" s="266" t="n"/>
      <c r="G85" s="137" t="n"/>
      <c r="H85" s="138" t="n"/>
      <c r="I85" s="128" t="n"/>
      <c r="J85" s="135" t="n"/>
      <c r="K85" s="135" t="n"/>
      <c r="L85" s="135" t="n"/>
      <c r="M85" s="264" t="n"/>
      <c r="N85" s="137" t="n"/>
      <c r="O85" s="135" t="n"/>
      <c r="P85" s="135" t="n"/>
      <c r="Q85" s="108" t="n"/>
    </row>
    <row r="86" ht="20" customHeight="1" s="1">
      <c r="A86" s="41" t="n">
        <v>11</v>
      </c>
      <c r="B86" s="5" t="inlineStr">
        <is>
          <t>（一）个人存款</t>
        </is>
      </c>
      <c r="C86" s="35" t="inlineStr">
        <is>
          <t>12MI3/22MI3</t>
        </is>
      </c>
      <c r="D86" s="189" t="inlineStr">
        <is>
          <t>其中：非居民</t>
        </is>
      </c>
      <c r="E86" s="190" t="inlineStr">
        <is>
          <t>加</t>
        </is>
      </c>
      <c r="F86" s="258" t="n"/>
      <c r="G86" s="137" t="n"/>
      <c r="H86" s="138" t="n"/>
      <c r="I86" s="128" t="n"/>
      <c r="J86" s="135" t="n"/>
      <c r="K86" s="135" t="n"/>
      <c r="L86" s="135" t="n"/>
      <c r="M86" s="264" t="n"/>
      <c r="N86" s="137" t="n"/>
      <c r="O86" s="135" t="n"/>
      <c r="P86" s="135" t="n"/>
      <c r="Q86" s="108" t="n"/>
    </row>
    <row r="87" ht="20" customHeight="1" s="1">
      <c r="A87" s="233" t="n"/>
      <c r="B87" s="271" t="n"/>
      <c r="C87" s="35" t="inlineStr">
        <is>
          <t>12MI5/22MI5</t>
        </is>
      </c>
      <c r="D87" s="189" t="inlineStr">
        <is>
          <t>其中：非居民</t>
        </is>
      </c>
      <c r="E87" s="190" t="inlineStr">
        <is>
          <t>加</t>
        </is>
      </c>
      <c r="F87" s="258" t="n"/>
      <c r="G87" s="137" t="n"/>
      <c r="H87" s="138" t="n"/>
      <c r="I87" s="128" t="n"/>
      <c r="J87" s="135" t="n"/>
      <c r="K87" s="135" t="n"/>
      <c r="L87" s="135" t="n"/>
      <c r="M87" s="264" t="n"/>
      <c r="N87" s="137" t="n"/>
      <c r="O87" s="135" t="n"/>
      <c r="P87" s="135" t="n"/>
      <c r="Q87" s="108" t="n"/>
    </row>
    <row r="88" ht="20" customHeight="1" s="1">
      <c r="A88" s="233" t="n"/>
      <c r="B88" s="271" t="n"/>
      <c r="C88" s="35" t="inlineStr">
        <is>
          <t>12MI7/22MI7</t>
        </is>
      </c>
      <c r="D88" s="189" t="inlineStr">
        <is>
          <t>其中：非居民</t>
        </is>
      </c>
      <c r="E88" s="190" t="inlineStr">
        <is>
          <t>加</t>
        </is>
      </c>
      <c r="F88" s="258" t="n"/>
      <c r="G88" s="137" t="n"/>
      <c r="H88" s="138" t="n"/>
      <c r="I88" s="128" t="n"/>
      <c r="J88" s="135" t="n"/>
      <c r="K88" s="135" t="n"/>
      <c r="L88" s="135" t="n"/>
      <c r="M88" s="264" t="n"/>
      <c r="N88" s="137" t="n"/>
      <c r="O88" s="135" t="n"/>
      <c r="P88" s="135" t="n"/>
      <c r="Q88" s="108" t="n"/>
    </row>
    <row r="89" ht="20" customHeight="1" s="1">
      <c r="A89" s="233" t="n"/>
      <c r="B89" s="271" t="n"/>
      <c r="C89" s="35" t="inlineStr">
        <is>
          <t>12MI9/22MI9</t>
        </is>
      </c>
      <c r="D89" s="189" t="inlineStr">
        <is>
          <t>其中：非居民</t>
        </is>
      </c>
      <c r="E89" s="190" t="inlineStr">
        <is>
          <t>加</t>
        </is>
      </c>
      <c r="F89" s="258" t="n"/>
      <c r="G89" s="137" t="n"/>
      <c r="H89" s="138" t="n"/>
      <c r="I89" s="128" t="n"/>
      <c r="J89" s="135" t="n"/>
      <c r="K89" s="135" t="n"/>
      <c r="L89" s="135" t="n"/>
      <c r="M89" s="264" t="n"/>
      <c r="N89" s="137" t="n"/>
      <c r="O89" s="135" t="n"/>
      <c r="P89" s="135" t="n"/>
      <c r="Q89" s="108" t="n"/>
    </row>
    <row r="90" ht="20" customHeight="1" s="1">
      <c r="A90" s="233" t="n"/>
      <c r="B90" s="271" t="n"/>
      <c r="C90" s="35" t="inlineStr">
        <is>
          <t>12MIB/22MIB</t>
        </is>
      </c>
      <c r="D90" s="189" t="inlineStr">
        <is>
          <t>其中：非居民</t>
        </is>
      </c>
      <c r="E90" s="190" t="inlineStr">
        <is>
          <t>加</t>
        </is>
      </c>
      <c r="F90" s="258" t="n"/>
      <c r="G90" s="137" t="n"/>
      <c r="H90" s="138" t="n"/>
      <c r="I90" s="128" t="n"/>
      <c r="J90" s="135" t="n"/>
      <c r="K90" s="135" t="n"/>
      <c r="L90" s="135" t="n"/>
      <c r="M90" s="264" t="n"/>
      <c r="N90" s="137" t="n"/>
      <c r="O90" s="135" t="n"/>
      <c r="P90" s="135" t="n"/>
      <c r="Q90" s="108" t="n"/>
    </row>
    <row r="91" ht="20" customHeight="1" s="1">
      <c r="A91" s="233" t="n"/>
      <c r="B91" s="271" t="n"/>
      <c r="C91" s="35" t="inlineStr">
        <is>
          <t>12MID/22MID</t>
        </is>
      </c>
      <c r="D91" s="189" t="inlineStr">
        <is>
          <t>其中：非居民</t>
        </is>
      </c>
      <c r="E91" s="190" t="inlineStr">
        <is>
          <t>加</t>
        </is>
      </c>
      <c r="F91" s="258" t="n"/>
      <c r="G91" s="137" t="n"/>
      <c r="H91" s="138" t="n"/>
      <c r="I91" s="128" t="n"/>
      <c r="J91" s="135" t="n"/>
      <c r="K91" s="135" t="n"/>
      <c r="L91" s="135" t="n"/>
      <c r="M91" s="264" t="n"/>
      <c r="N91" s="137" t="n"/>
      <c r="O91" s="135" t="n"/>
      <c r="P91" s="135" t="n"/>
      <c r="Q91" s="108" t="n"/>
    </row>
    <row r="92" ht="20" customHeight="1" s="1">
      <c r="A92" s="233" t="n"/>
      <c r="B92" s="271" t="n"/>
      <c r="C92" s="35" t="inlineStr">
        <is>
          <t>12MIF/22MIF</t>
        </is>
      </c>
      <c r="D92" s="189" t="inlineStr">
        <is>
          <t>其中：非居民</t>
        </is>
      </c>
      <c r="E92" s="190" t="inlineStr">
        <is>
          <t>加</t>
        </is>
      </c>
      <c r="F92" s="258" t="n"/>
      <c r="G92" s="137" t="n"/>
      <c r="H92" s="138" t="n"/>
      <c r="I92" s="128" t="n"/>
      <c r="J92" s="135" t="n"/>
      <c r="K92" s="135" t="n"/>
      <c r="L92" s="135" t="n"/>
      <c r="M92" s="264" t="n"/>
      <c r="N92" s="137" t="n"/>
      <c r="O92" s="135" t="n"/>
      <c r="P92" s="135" t="n"/>
      <c r="Q92" s="108" t="n"/>
    </row>
    <row r="93" ht="20" customHeight="1" s="1">
      <c r="A93" s="233" t="n"/>
      <c r="B93" s="271" t="n"/>
      <c r="C93" s="35" t="inlineStr">
        <is>
          <t>12MIH/22MIH</t>
        </is>
      </c>
      <c r="D93" s="189" t="inlineStr">
        <is>
          <t>其中：非居民</t>
        </is>
      </c>
      <c r="E93" s="190" t="inlineStr">
        <is>
          <t>加</t>
        </is>
      </c>
      <c r="F93" s="258" t="n"/>
      <c r="G93" s="137" t="n"/>
      <c r="H93" s="138" t="n"/>
      <c r="I93" s="128" t="n"/>
      <c r="J93" s="135" t="n"/>
      <c r="K93" s="135" t="n"/>
      <c r="L93" s="135" t="n"/>
      <c r="M93" s="264" t="n"/>
      <c r="N93" s="137" t="n"/>
      <c r="O93" s="135" t="n"/>
      <c r="P93" s="135" t="n"/>
      <c r="Q93" s="108" t="n"/>
    </row>
    <row r="94" ht="20" customHeight="1" s="1">
      <c r="A94" s="233" t="n"/>
      <c r="B94" s="271" t="n"/>
      <c r="C94" s="35" t="inlineStr">
        <is>
          <t>12N1A/22N1A</t>
        </is>
      </c>
      <c r="D94" s="189" t="inlineStr">
        <is>
          <t>其中：非居民</t>
        </is>
      </c>
      <c r="E94" s="190" t="inlineStr">
        <is>
          <t>加</t>
        </is>
      </c>
      <c r="F94" s="258" t="n"/>
      <c r="G94" s="137" t="n"/>
      <c r="H94" s="138" t="n"/>
      <c r="I94" s="128" t="n"/>
      <c r="J94" s="135" t="n"/>
      <c r="K94" s="135" t="n"/>
      <c r="L94" s="135" t="n"/>
      <c r="M94" s="264" t="n"/>
      <c r="N94" s="137" t="n"/>
      <c r="O94" s="135" t="n"/>
      <c r="P94" s="135" t="n"/>
      <c r="Q94" s="108" t="n"/>
    </row>
    <row r="95" ht="20" customHeight="1" s="1">
      <c r="A95" s="237" t="n"/>
      <c r="B95" s="272" t="n"/>
      <c r="C95" s="35" t="inlineStr">
        <is>
          <t>12N1E/22N1E</t>
        </is>
      </c>
      <c r="D95" s="189" t="inlineStr">
        <is>
          <t>个人</t>
        </is>
      </c>
      <c r="E95" s="190" t="inlineStr">
        <is>
          <t>加</t>
        </is>
      </c>
      <c r="F95" s="258" t="n"/>
      <c r="G95" s="137" t="n"/>
      <c r="H95" s="138" t="n"/>
      <c r="I95" s="128" t="n"/>
      <c r="J95" s="135" t="n"/>
      <c r="K95" s="135" t="n"/>
      <c r="L95" s="135" t="n"/>
      <c r="M95" s="264" t="n"/>
      <c r="N95" s="137" t="n"/>
      <c r="O95" s="135" t="n"/>
      <c r="P95" s="135" t="n"/>
      <c r="Q95" s="108" t="n"/>
    </row>
    <row r="96" ht="20" customHeight="1" s="1">
      <c r="A96" s="35" t="n">
        <v>12</v>
      </c>
      <c r="B96" s="273" t="inlineStr">
        <is>
          <t>（二）单位存款</t>
        </is>
      </c>
      <c r="C96" s="35" t="inlineStr">
        <is>
          <t>12MGA/22MGA</t>
        </is>
      </c>
      <c r="D96" s="189" t="inlineStr">
        <is>
          <t>非居民活期存款</t>
        </is>
      </c>
      <c r="E96" s="190" t="inlineStr">
        <is>
          <t>加</t>
        </is>
      </c>
      <c r="F96" s="258" t="n"/>
      <c r="G96" s="137" t="n"/>
      <c r="H96" s="138" t="n"/>
      <c r="I96" s="128" t="n"/>
      <c r="J96" s="135" t="n"/>
      <c r="K96" s="135" t="n"/>
      <c r="L96" s="135" t="n"/>
      <c r="M96" s="264" t="n"/>
      <c r="N96" s="137" t="n"/>
      <c r="O96" s="135" t="n"/>
      <c r="P96" s="135" t="n"/>
      <c r="Q96" s="108" t="n"/>
    </row>
    <row r="97" ht="20" customHeight="1" s="1">
      <c r="A97" s="233" t="n"/>
      <c r="B97" s="271" t="n"/>
      <c r="C97" s="35" t="inlineStr">
        <is>
          <t>12MGH/22MGH</t>
        </is>
      </c>
      <c r="D97" s="189" t="inlineStr">
        <is>
          <t>非居民定期存款</t>
        </is>
      </c>
      <c r="E97" s="190" t="inlineStr">
        <is>
          <t>加</t>
        </is>
      </c>
      <c r="F97" s="258" t="n"/>
      <c r="G97" s="137" t="n"/>
      <c r="H97" s="138" t="n"/>
      <c r="I97" s="128" t="n"/>
      <c r="J97" s="135" t="n"/>
      <c r="K97" s="135" t="n"/>
      <c r="L97" s="135" t="n"/>
      <c r="M97" s="264" t="n"/>
      <c r="N97" s="137" t="n"/>
      <c r="O97" s="135" t="n"/>
      <c r="P97" s="135" t="n"/>
      <c r="Q97" s="108" t="n"/>
    </row>
    <row r="98" ht="20" customHeight="1" s="1">
      <c r="A98" s="233" t="n"/>
      <c r="B98" s="271" t="n"/>
      <c r="C98" s="35" t="inlineStr">
        <is>
          <t>12MGQ/22MGQ</t>
        </is>
      </c>
      <c r="D98" s="189" t="inlineStr">
        <is>
          <t>非居民通知存款</t>
        </is>
      </c>
      <c r="E98" s="190" t="inlineStr">
        <is>
          <t>加</t>
        </is>
      </c>
      <c r="F98" s="258" t="n"/>
      <c r="G98" s="137" t="n"/>
      <c r="H98" s="138" t="n"/>
      <c r="I98" s="128" t="n"/>
      <c r="J98" s="135" t="n"/>
      <c r="K98" s="135" t="n"/>
      <c r="L98" s="135" t="n"/>
      <c r="M98" s="264" t="n"/>
      <c r="N98" s="137" t="n"/>
      <c r="O98" s="135" t="n"/>
      <c r="P98" s="135" t="n"/>
      <c r="Q98" s="108" t="n"/>
    </row>
    <row r="99" ht="20" customHeight="1" s="1">
      <c r="A99" s="233" t="n"/>
      <c r="B99" s="271" t="n"/>
      <c r="C99" s="35" t="inlineStr">
        <is>
          <t>12MH3/22MH3</t>
        </is>
      </c>
      <c r="D99" s="189" t="inlineStr">
        <is>
          <t>非居民协议存款</t>
        </is>
      </c>
      <c r="E99" s="190" t="inlineStr">
        <is>
          <t>加</t>
        </is>
      </c>
      <c r="F99" s="258" t="n"/>
      <c r="G99" s="137" t="n"/>
      <c r="H99" s="138" t="n"/>
      <c r="I99" s="128" t="n"/>
      <c r="J99" s="135" t="n"/>
      <c r="K99" s="135" t="n"/>
      <c r="L99" s="135" t="n"/>
      <c r="M99" s="264" t="n"/>
      <c r="N99" s="137" t="n"/>
      <c r="O99" s="135" t="n"/>
      <c r="P99" s="135" t="n"/>
      <c r="Q99" s="108" t="n"/>
    </row>
    <row r="100" ht="20" customHeight="1" s="1">
      <c r="A100" s="233" t="n"/>
      <c r="B100" s="271" t="n"/>
      <c r="C100" s="35" t="inlineStr">
        <is>
          <t>12MHA/22MHA</t>
        </is>
      </c>
      <c r="D100" s="189" t="inlineStr">
        <is>
          <t>非居民协定存款</t>
        </is>
      </c>
      <c r="E100" s="190" t="inlineStr">
        <is>
          <t>加</t>
        </is>
      </c>
      <c r="F100" s="258" t="n"/>
      <c r="G100" s="137" t="n"/>
      <c r="H100" s="138" t="n"/>
      <c r="I100" s="128" t="n"/>
      <c r="J100" s="135" t="n"/>
      <c r="K100" s="135" t="n"/>
      <c r="L100" s="135" t="n"/>
      <c r="M100" s="264" t="n"/>
      <c r="N100" s="137" t="n"/>
      <c r="O100" s="135" t="n"/>
      <c r="P100" s="135" t="n"/>
      <c r="Q100" s="108" t="n"/>
    </row>
    <row r="101" ht="20" customHeight="1" s="1">
      <c r="A101" s="233" t="n"/>
      <c r="B101" s="271" t="n"/>
      <c r="C101" s="35" t="inlineStr">
        <is>
          <t>12MHH/22MHH</t>
        </is>
      </c>
      <c r="D101" s="189" t="inlineStr">
        <is>
          <t>非居民保证金存款</t>
        </is>
      </c>
      <c r="E101" s="190" t="inlineStr">
        <is>
          <t>加</t>
        </is>
      </c>
      <c r="F101" s="258" t="n"/>
      <c r="G101" s="137" t="n"/>
      <c r="H101" s="138" t="n"/>
      <c r="I101" s="128" t="n"/>
      <c r="J101" s="135" t="n"/>
      <c r="K101" s="135" t="n"/>
      <c r="L101" s="135" t="n"/>
      <c r="M101" s="264" t="n"/>
      <c r="N101" s="137" t="n"/>
      <c r="O101" s="135" t="n"/>
      <c r="P101" s="135" t="n"/>
      <c r="Q101" s="108" t="n"/>
    </row>
    <row r="102" ht="20" customHeight="1" s="1">
      <c r="A102" s="233" t="n"/>
      <c r="B102" s="271" t="n"/>
      <c r="C102" s="35" t="inlineStr">
        <is>
          <t>12MHQ/22MHQ</t>
        </is>
      </c>
      <c r="D102" s="189" t="inlineStr">
        <is>
          <t>非居民结构性存款</t>
        </is>
      </c>
      <c r="E102" s="190" t="inlineStr">
        <is>
          <t>加</t>
        </is>
      </c>
      <c r="F102" s="258" t="n"/>
      <c r="G102" s="137" t="n"/>
      <c r="H102" s="138" t="n"/>
      <c r="I102" s="128" t="n"/>
      <c r="J102" s="135" t="n"/>
      <c r="K102" s="135" t="n"/>
      <c r="L102" s="135" t="n"/>
      <c r="M102" s="264" t="n"/>
      <c r="N102" s="137" t="n"/>
      <c r="O102" s="135" t="n"/>
      <c r="P102" s="135" t="n"/>
      <c r="Q102" s="108" t="n"/>
    </row>
    <row r="103" ht="20" customHeight="1" s="1">
      <c r="A103" s="233" t="n"/>
      <c r="B103" s="271" t="n"/>
      <c r="C103" s="35" t="inlineStr">
        <is>
          <t>12N18/22N18</t>
        </is>
      </c>
      <c r="D103" s="189" t="inlineStr">
        <is>
          <t>非居民信用卡存款</t>
        </is>
      </c>
      <c r="E103" s="190" t="inlineStr">
        <is>
          <t>加</t>
        </is>
      </c>
      <c r="F103" s="258" t="n"/>
      <c r="G103" s="137" t="n"/>
      <c r="H103" s="138" t="n"/>
      <c r="I103" s="128" t="n"/>
      <c r="J103" s="135" t="n"/>
      <c r="K103" s="135" t="n"/>
      <c r="L103" s="135" t="n"/>
      <c r="M103" s="264" t="n"/>
      <c r="N103" s="137" t="n"/>
      <c r="O103" s="135" t="n"/>
      <c r="P103" s="135" t="n"/>
      <c r="Q103" s="108" t="n"/>
    </row>
    <row r="104" ht="20" customHeight="1" s="1">
      <c r="A104" s="233" t="n"/>
      <c r="B104" s="271" t="n"/>
      <c r="C104" s="35" t="inlineStr">
        <is>
          <t>12MIX/22MIX</t>
        </is>
      </c>
      <c r="D104" s="189" t="inlineStr">
        <is>
          <t>其中：境外汇入应解汇款</t>
        </is>
      </c>
      <c r="E104" s="190" t="inlineStr">
        <is>
          <t>加</t>
        </is>
      </c>
      <c r="F104" s="258" t="n"/>
      <c r="G104" s="137" t="n"/>
      <c r="H104" s="138" t="n"/>
      <c r="I104" s="128" t="n"/>
      <c r="J104" s="135" t="n"/>
      <c r="K104" s="135" t="n"/>
      <c r="L104" s="135" t="n"/>
      <c r="M104" s="264" t="n"/>
      <c r="N104" s="137" t="n"/>
      <c r="O104" s="135" t="n"/>
      <c r="P104" s="135" t="n"/>
      <c r="Q104" s="108" t="n"/>
    </row>
    <row r="105" ht="20" customHeight="1" s="1">
      <c r="A105" s="237" t="n"/>
      <c r="B105" s="272" t="n"/>
      <c r="C105" s="35" t="inlineStr">
        <is>
          <t>12N1D/22N1D</t>
        </is>
      </c>
      <c r="D105" s="189" t="inlineStr">
        <is>
          <t>单位</t>
        </is>
      </c>
      <c r="E105" s="190" t="inlineStr">
        <is>
          <t>加</t>
        </is>
      </c>
      <c r="F105" s="258" t="n"/>
      <c r="G105" s="200" t="n"/>
      <c r="H105" s="201" t="n"/>
      <c r="I105" s="176" t="n"/>
      <c r="J105" s="176" t="n"/>
      <c r="K105" s="176" t="n"/>
      <c r="L105" s="176" t="n"/>
      <c r="M105" s="268" t="n"/>
      <c r="N105" s="137" t="n"/>
      <c r="O105" s="135" t="n"/>
      <c r="P105" s="135" t="n"/>
      <c r="Q105" s="108" t="n"/>
    </row>
    <row r="106" ht="20" customHeight="1" s="1">
      <c r="A106" s="37" t="n">
        <v>13</v>
      </c>
      <c r="B106" s="199" t="inlineStr">
        <is>
          <t>（三）境外同业存放</t>
        </is>
      </c>
      <c r="C106" s="35" t="inlineStr">
        <is>
          <t>12MM3/22MM3</t>
        </is>
      </c>
      <c r="D106" s="189" t="inlineStr">
        <is>
          <t>境外金融机构存放</t>
        </is>
      </c>
      <c r="E106" s="190" t="inlineStr">
        <is>
          <t>加</t>
        </is>
      </c>
      <c r="F106" s="258" t="n"/>
      <c r="G106" s="202" t="n">
        <v>201704</v>
      </c>
      <c r="H106" s="203" t="inlineStr">
        <is>
          <t>境外同业存放</t>
        </is>
      </c>
      <c r="I106" s="11" t="n"/>
      <c r="J106" s="203" t="n">
        <v>22311004</v>
      </c>
      <c r="K106" s="203" t="inlineStr">
        <is>
          <t>境外同业存放应付利息</t>
        </is>
      </c>
      <c r="L106" s="204" t="n"/>
      <c r="M106" s="269" t="n"/>
      <c r="N106" s="137" t="n"/>
      <c r="O106" s="135" t="n"/>
      <c r="P106" s="135" t="n"/>
      <c r="Q106" s="108" t="n"/>
    </row>
    <row r="107" ht="20" customHeight="1" s="1">
      <c r="A107" s="233" t="n"/>
      <c r="B107" s="271" t="n"/>
      <c r="C107" s="35" t="inlineStr">
        <is>
          <t>12MMR/22MMR</t>
        </is>
      </c>
      <c r="D107" s="189" t="inlineStr">
        <is>
          <t>境外金融机构存放</t>
        </is>
      </c>
      <c r="E107" s="190" t="inlineStr">
        <is>
          <t>加</t>
        </is>
      </c>
      <c r="F107" s="258" t="n"/>
      <c r="G107" s="137" t="n"/>
      <c r="H107" s="138" t="n"/>
      <c r="I107" s="135" t="n"/>
      <c r="J107" s="135" t="n"/>
      <c r="K107" s="135" t="n"/>
      <c r="L107" s="135" t="n"/>
      <c r="M107" s="264" t="n"/>
      <c r="N107" s="137" t="n"/>
      <c r="O107" s="135" t="n"/>
      <c r="P107" s="135" t="n"/>
      <c r="Q107" s="108" t="n"/>
    </row>
    <row r="108" ht="20" customHeight="1" s="1">
      <c r="A108" s="233" t="n"/>
      <c r="B108" s="271" t="n"/>
      <c r="C108" s="35" t="inlineStr">
        <is>
          <t>12MW4/22MW4</t>
        </is>
      </c>
      <c r="D108" s="205" t="inlineStr">
        <is>
          <t>境外金融机构</t>
        </is>
      </c>
      <c r="E108" s="206" t="inlineStr">
        <is>
          <t>加</t>
        </is>
      </c>
      <c r="F108" s="274" t="n"/>
      <c r="G108" s="149" t="n"/>
      <c r="H108" s="150" t="n"/>
      <c r="I108" s="152" t="n"/>
      <c r="J108" s="152" t="n"/>
      <c r="K108" s="152" t="n"/>
      <c r="L108" s="152" t="n"/>
      <c r="M108" s="265" t="n"/>
      <c r="N108" s="200" t="n"/>
      <c r="O108" s="176" t="n"/>
      <c r="P108" s="176" t="n"/>
      <c r="Q108" s="208" t="n"/>
    </row>
    <row r="109" ht="45" customHeight="1" s="1">
      <c r="A109" s="209" t="n">
        <v>14</v>
      </c>
      <c r="B109" s="210" t="inlineStr">
        <is>
          <t>三、高级管理人员在本机构存款</t>
        </is>
      </c>
      <c r="C109" s="188" t="n"/>
      <c r="D109" s="190" t="inlineStr">
        <is>
          <t>本金</t>
        </is>
      </c>
      <c r="E109" s="190" t="n"/>
      <c r="F109" s="211" t="n"/>
      <c r="G109" s="212" t="inlineStr">
        <is>
          <t>三、高级管理人员在本机构存款</t>
        </is>
      </c>
      <c r="H109" s="193" t="n"/>
      <c r="I109" s="214" t="n"/>
      <c r="J109" s="215" t="n"/>
      <c r="K109" s="216" t="inlineStr">
        <is>
          <t>三、高级管理人员在本机构存款利息</t>
        </is>
      </c>
      <c r="L109" s="214" t="n"/>
      <c r="M109" s="267" t="n"/>
      <c r="N109" s="138" t="n"/>
      <c r="O109" s="135" t="n"/>
      <c r="P109" s="135" t="n"/>
      <c r="Q109" s="108" t="n"/>
    </row>
    <row r="110" ht="45" customHeight="1" s="1">
      <c r="A110" s="209" t="n">
        <v>15</v>
      </c>
      <c r="B110" s="217" t="inlineStr">
        <is>
          <t>四、不予保险的其他存款</t>
        </is>
      </c>
      <c r="C110" s="218" t="n"/>
      <c r="D110" s="219" t="inlineStr">
        <is>
          <t>本金</t>
        </is>
      </c>
      <c r="E110" s="219" t="n"/>
      <c r="F110" s="220" t="n"/>
      <c r="G110" s="221" t="inlineStr">
        <is>
          <t>四、不予保险的其他存款</t>
        </is>
      </c>
      <c r="H110" s="201" t="n"/>
      <c r="I110" s="223" t="n"/>
      <c r="J110" s="224" t="n"/>
      <c r="K110" s="176" t="n"/>
      <c r="L110" s="223" t="n"/>
      <c r="M110" s="268" t="n"/>
      <c r="N110" s="138" t="n"/>
      <c r="O110" s="135" t="n"/>
      <c r="P110" s="135" t="n"/>
      <c r="Q110" s="108" t="n"/>
    </row>
    <row r="111">
      <c r="F111" s="225" t="n"/>
      <c r="M111" s="227" t="n"/>
    </row>
    <row r="112">
      <c r="F112" s="225" t="n"/>
      <c r="M112" s="227" t="n"/>
    </row>
    <row r="113">
      <c r="F113" s="225" t="n"/>
      <c r="M113" s="227" t="n"/>
    </row>
  </sheetData>
  <mergeCells count="44">
    <mergeCell ref="O5:O6"/>
    <mergeCell ref="E5:E6"/>
    <mergeCell ref="A60:A61"/>
    <mergeCell ref="A96:A105"/>
    <mergeCell ref="B25:B41"/>
    <mergeCell ref="B42:B50"/>
    <mergeCell ref="G4:M4"/>
    <mergeCell ref="A64:A82"/>
    <mergeCell ref="A3:C3"/>
    <mergeCell ref="B14:B24"/>
    <mergeCell ref="H31:H34"/>
    <mergeCell ref="A106:A108"/>
    <mergeCell ref="B83:B85"/>
    <mergeCell ref="N5:N6"/>
    <mergeCell ref="Q14:Q19"/>
    <mergeCell ref="A4:A6"/>
    <mergeCell ref="B4:B6"/>
    <mergeCell ref="G5:I5"/>
    <mergeCell ref="A25:A41"/>
    <mergeCell ref="A42:A50"/>
    <mergeCell ref="B60:B61"/>
    <mergeCell ref="A14:A24"/>
    <mergeCell ref="B96:B105"/>
    <mergeCell ref="B106:B108"/>
    <mergeCell ref="A83:A85"/>
    <mergeCell ref="B86:B95"/>
    <mergeCell ref="C4:F4"/>
    <mergeCell ref="B51:B59"/>
    <mergeCell ref="B7:B13"/>
    <mergeCell ref="A2:Q2"/>
    <mergeCell ref="N4:P4"/>
    <mergeCell ref="G110:H110"/>
    <mergeCell ref="D5:D6"/>
    <mergeCell ref="J5:L5"/>
    <mergeCell ref="P5:P6"/>
    <mergeCell ref="H18:H21"/>
    <mergeCell ref="G109:H109"/>
    <mergeCell ref="A86:A95"/>
    <mergeCell ref="Q4:Q6"/>
    <mergeCell ref="A51:A59"/>
    <mergeCell ref="A7:A13"/>
    <mergeCell ref="B64:B82"/>
    <mergeCell ref="C5:C6"/>
    <mergeCell ref="M5:M6"/>
  </mergeCells>
  <conditionalFormatting sqref="D41:E41">
    <cfRule type="expression" priority="2" dxfId="0" stopIfTrue="1">
      <formula>LEFT(#REF!,4)="2010"</formula>
    </cfRule>
  </conditionalFormatting>
  <conditionalFormatting sqref="D60:D61">
    <cfRule type="expression" priority="1" dxfId="0" stopIfTrue="1">
      <formula>LEFT(#REF!,4)="2010"</formula>
    </cfRule>
  </conditionalFormatting>
  <pageMargins left="0.7" right="0.7" top="0.75" bottom="0.75" header="0.3" footer="0.3"/>
  <pageSetup orientation="landscape" paperSize="9" scale="90" horizontalDpi="600" verticalDpi="6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zoomScaleSheetLayoutView="60" workbookViewId="0">
      <selection activeCell="G7" sqref="G7"/>
    </sheetView>
  </sheetViews>
  <sheetFormatPr baseColWidth="8" defaultColWidth="9" defaultRowHeight="17.6"/>
  <cols>
    <col width="31.75" customWidth="1" style="1" min="1" max="2"/>
    <col width="19.625" customWidth="1" style="1" min="3" max="3"/>
    <col width="20.625" customWidth="1" style="1" min="4" max="6"/>
    <col width="89.6964285714286" customWidth="1" style="1" min="7" max="7"/>
  </cols>
  <sheetData>
    <row r="1" ht="35.25" customHeight="1" s="1">
      <c r="A1" s="2" t="n"/>
      <c r="B1" s="3" t="inlineStr">
        <is>
          <t>存款归属统计表与IRP001核对</t>
        </is>
      </c>
      <c r="C1" s="10" t="inlineStr">
        <is>
          <t>差额</t>
        </is>
      </c>
      <c r="D1" s="3" t="inlineStr">
        <is>
          <t>会计科目与IRP001核对</t>
        </is>
      </c>
      <c r="E1" s="235" t="n"/>
      <c r="F1" s="138" t="n"/>
    </row>
    <row r="2" ht="34.5" customHeight="1" s="1">
      <c r="A2" s="5" t="inlineStr">
        <is>
          <t>项目名称</t>
        </is>
      </c>
      <c r="B2" s="190" t="inlineStr">
        <is>
          <t>本金</t>
        </is>
      </c>
      <c r="C2" s="275" t="n"/>
      <c r="D2" s="190" t="inlineStr">
        <is>
          <t>本金</t>
        </is>
      </c>
      <c r="E2" s="190" t="inlineStr">
        <is>
          <t>利息</t>
        </is>
      </c>
      <c r="F2" s="190" t="inlineStr">
        <is>
          <t>合计</t>
        </is>
      </c>
    </row>
    <row r="3" ht="30.75" customHeight="1" s="1">
      <c r="A3" s="8" t="inlineStr">
        <is>
          <t>（一）个人存款</t>
        </is>
      </c>
      <c r="B3" s="9">
        <f>IF(保费基数核对表!F7=ROUND((保费基数核对表!N7-保费基数核对表!Q9)/10000,0),0,1)</f>
        <v/>
      </c>
      <c r="C3" s="10">
        <f>保费基数核对表!F7-ROUND((保费基数核对表!N7-保费基数核对表!Q9)/10000,0)</f>
        <v/>
      </c>
      <c r="D3" s="9">
        <f>IF(保费基数核对表!I7=保费基数核对表!N7,0,1)</f>
        <v/>
      </c>
      <c r="E3" s="9">
        <f>IF(保费基数核对表!L7=保费基数核对表!O7,0,1)</f>
        <v/>
      </c>
      <c r="F3" s="9">
        <f>IF(保费基数核对表!M7=保费基数核对表!P7,0,1)</f>
        <v/>
      </c>
      <c r="G3" s="11" t="n"/>
    </row>
    <row r="4" ht="30.75" customHeight="1" s="1">
      <c r="A4" s="8" t="inlineStr">
        <is>
          <t>（二）单位存款</t>
        </is>
      </c>
      <c r="B4" s="9">
        <f>IF(保费基数核对表!F8=ROUND((保费基数核对表!N8-保费基数核对表!Q10)/10000,0),0,1)</f>
        <v/>
      </c>
      <c r="C4" s="10">
        <f>保费基数核对表!F8-ROUND((保费基数核对表!N8-保费基数核对表!Q10)/10000,0)</f>
        <v/>
      </c>
      <c r="D4" s="9">
        <f>IF(保费基数核对表!I8=保费基数核对表!N8,0,1)</f>
        <v/>
      </c>
      <c r="E4" s="9">
        <f>IF(保费基数核对表!L8=保费基数核对表!O8,0,1)</f>
        <v/>
      </c>
      <c r="F4" s="9">
        <f>IF(保费基数核对表!M8=保费基数核对表!P8,0,1)</f>
        <v/>
      </c>
      <c r="G4" s="11" t="n"/>
    </row>
    <row r="5" ht="30.75" customHeight="1" s="1">
      <c r="A5" s="8" t="inlineStr">
        <is>
          <t>（三）财政性存款</t>
        </is>
      </c>
      <c r="B5" s="9">
        <f>IF(保费基数核对表!F11=ROUND(保费基数核对表!N9/10000,0),0,1)</f>
        <v/>
      </c>
      <c r="C5" s="10">
        <f>保费基数核对表!F11-ROUND(保费基数核对表!N9/10000,0)</f>
        <v/>
      </c>
      <c r="D5" s="9">
        <f>IF(保费基数核对表!I9=保费基数核对表!N9,0,1)</f>
        <v/>
      </c>
      <c r="E5" s="9">
        <f>IF(保费基数核对表!L9=保费基数核对表!O9,0,1)</f>
        <v/>
      </c>
      <c r="F5" s="9">
        <f>IF(保费基数核对表!M9=保费基数核对表!P9,0,1)</f>
        <v/>
      </c>
      <c r="G5" s="11" t="n"/>
    </row>
    <row r="6" ht="30.75" customHeight="1" s="1">
      <c r="A6" s="8" t="inlineStr">
        <is>
          <t>（四）非存款类金融机构存款</t>
        </is>
      </c>
      <c r="B6" s="12">
        <f>保费基数核对表!F12-ROUND(保费基数核对表!N10/10000,0)</f>
        <v/>
      </c>
      <c r="C6" s="4">
        <f>保费基数核对表!F12-ROUND(保费基数核对表!N10/10000,0)</f>
        <v/>
      </c>
      <c r="D6" s="9">
        <f>IF(保费基数核对表!I10=保费基数核对表!N10,0,1)</f>
        <v/>
      </c>
      <c r="E6" s="9">
        <f>IF(保费基数核对表!L10=保费基数核对表!O10,0,1)</f>
        <v/>
      </c>
      <c r="F6" s="9">
        <f>IF(保费基数核对表!M10=保费基数核对表!P10,0,1)</f>
        <v/>
      </c>
      <c r="G6" s="11" t="n"/>
    </row>
    <row r="7" ht="30.75" customHeight="1" s="1">
      <c r="A7" s="8" t="inlineStr">
        <is>
          <t>三、高级管理人员在本机构存款</t>
        </is>
      </c>
      <c r="B7" s="13" t="inlineStr">
        <is>
          <t>/</t>
        </is>
      </c>
      <c r="C7" s="276" t="n"/>
      <c r="D7" s="9">
        <f>IF(保费基数核对表!I11=保费基数核对表!N11,0,1)</f>
        <v/>
      </c>
      <c r="E7" s="9">
        <f>IF(保费基数核对表!L11=保费基数核对表!O11,0,1)</f>
        <v/>
      </c>
      <c r="F7" s="9">
        <f>IF(保费基数核对表!M11=保费基数核对表!P11,0,1)</f>
        <v/>
      </c>
      <c r="G7" s="11" t="n"/>
    </row>
    <row r="8" ht="30.75" customHeight="1" s="1">
      <c r="A8" s="8" t="inlineStr">
        <is>
          <t>四、不予保险的其他存款</t>
        </is>
      </c>
      <c r="B8" s="15" t="inlineStr">
        <is>
          <t>/</t>
        </is>
      </c>
      <c r="C8" s="277" t="n"/>
      <c r="D8" s="9">
        <f>IF(保费基数核对表!I12=保费基数核对表!N12,0,1)</f>
        <v/>
      </c>
      <c r="E8" s="9">
        <f>IF(保费基数核对表!L12=保费基数核对表!O12,0,1)</f>
        <v/>
      </c>
      <c r="F8" s="9">
        <f>IF(保费基数核对表!M12=保费基数核对表!P12,0,1)</f>
        <v/>
      </c>
      <c r="G8" s="11" t="n"/>
    </row>
    <row r="9" ht="30.75" customHeight="1" s="1">
      <c r="A9" s="189" t="inlineStr">
        <is>
          <t>被保险存款合计</t>
        </is>
      </c>
      <c r="B9" s="15" t="inlineStr">
        <is>
          <t>/</t>
        </is>
      </c>
      <c r="C9" s="277" t="n"/>
      <c r="D9" s="9">
        <f>IF(保费基数核对表!I13=保费基数核对表!N13,0,1)</f>
        <v/>
      </c>
      <c r="E9" s="9">
        <f>IF(保费基数核对表!L13=保费基数核对表!O13,0,1)</f>
        <v/>
      </c>
      <c r="F9" s="9">
        <f>IF(保费基数核对表!M13=保费基数核对表!P13,0,1)</f>
        <v/>
      </c>
      <c r="G9" s="11" t="n"/>
    </row>
  </sheetData>
  <mergeCells count="5">
    <mergeCell ref="B7:C7"/>
    <mergeCell ref="C1:C2"/>
    <mergeCell ref="B9:C9"/>
    <mergeCell ref="B8:C8"/>
    <mergeCell ref="D1:F1"/>
  </mergeCells>
  <conditionalFormatting sqref="B3:C6 D3:F9">
    <cfRule type="cellIs" priority="1" operator="notEqual" dxfId="1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1996-12-20T17:32:00Z</dcterms:created>
  <dcterms:modified xmlns:dcterms="http://purl.org/dc/terms/" xmlns:xsi="http://www.w3.org/2001/XMLSchema-instance" xsi:type="dcterms:W3CDTF">2026-10-13T15:27:49Z</dcterms:modified>
  <cp:lastModifiedBy>我丶丶丶</cp:lastModifiedBy>
  <cp:revision>1</cp:revision>
  <cp:lastPrinted>2016-09-11T00:03:00Z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2052-12.1.25895.25895</vt:lpwstr>
  </property>
  <property name="ICV" fmtid="{D5CDD505-2E9C-101B-9397-08002B2CF9AE}" pid="3">
    <vt:lpwstr xmlns:vt="http://schemas.openxmlformats.org/officeDocument/2006/docPropsVTypes">1506C1F4E2B44CA3931B4E5820A42DF3_13</vt:lpwstr>
  </property>
  <property name="CalculationRule" fmtid="{D5CDD505-2E9C-101B-9397-08002B2CF9AE}" pid="4">
    <vt:i4 xmlns:vt="http://schemas.openxmlformats.org/officeDocument/2006/docPropsVTypes">0</vt:i4>
  </property>
</Properties>
</file>