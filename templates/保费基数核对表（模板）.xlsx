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80"/>
  </bookViews>
  <sheets>
    <sheet name="保费基数核对表" sheetId="7" r:id="rId1"/>
    <sheet name="校验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THTF</author>
  </authors>
  <commentList>
    <comment ref="P7" authorId="0">
      <text>
        <r>
          <rPr>
            <b/>
            <sz val="9"/>
            <rFont val="宋体"/>
            <charset val="134"/>
          </rPr>
          <t>THTF:</t>
        </r>
        <r>
          <rPr>
            <sz val="9"/>
            <rFont val="宋体"/>
            <charset val="134"/>
          </rPr>
          <t xml:space="preserve">
个体工商户由单位调整至个人部分的本金；
</t>
        </r>
      </text>
    </comment>
    <comment ref="P8" authorId="0">
      <text>
        <r>
          <rPr>
            <sz val="9"/>
            <rFont val="宋体"/>
            <charset val="134"/>
          </rPr>
          <t>个体工商户由单位调整至个人部分的应付利息；</t>
        </r>
      </text>
    </comment>
    <comment ref="P9" authorId="0">
      <text>
        <r>
          <rPr>
            <b/>
            <sz val="12"/>
            <rFont val="宋体"/>
            <charset val="134"/>
          </rPr>
          <t>THTF:</t>
        </r>
        <r>
          <rPr>
            <sz val="9"/>
            <rFont val="宋体"/>
            <charset val="134"/>
          </rPr>
          <t xml:space="preserve">
久悬户归属于个人存款的部分；为历史值（个人部分）＋久悬不动户余额（22410401）</t>
        </r>
      </text>
    </comment>
    <comment ref="P10" authorId="0">
      <text>
        <r>
          <rPr>
            <b/>
            <sz val="12"/>
            <rFont val="宋体"/>
            <charset val="134"/>
          </rPr>
          <t>THTF:</t>
        </r>
        <r>
          <rPr>
            <sz val="9"/>
            <rFont val="宋体"/>
            <charset val="134"/>
          </rPr>
          <t xml:space="preserve">
THTF:
久悬户归属于单位存款的部分；为历史值（单位部分）＋久悬不动户余额（22410402）+久悬未取款收入（630108）-久悬未取款支出（671106）
</t>
        </r>
      </text>
    </comment>
  </commentList>
</comments>
</file>

<file path=xl/sharedStrings.xml><?xml version="1.0" encoding="utf-8"?>
<sst xmlns="http://schemas.openxmlformats.org/spreadsheetml/2006/main" count="341" uniqueCount="244">
  <si>
    <t>附5</t>
  </si>
  <si>
    <t xml:space="preserve"> </t>
  </si>
  <si>
    <t>保费基数核对表</t>
  </si>
  <si>
    <t>投保机构：</t>
  </si>
  <si>
    <t>单位：元</t>
  </si>
  <si>
    <t>顺序</t>
  </si>
  <si>
    <t>行列名称</t>
  </si>
  <si>
    <t>存款归属核对</t>
  </si>
  <si>
    <t>会计科目核对</t>
  </si>
  <si>
    <t>被保险存款申报表（IRP001）</t>
  </si>
  <si>
    <t>差额说明</t>
  </si>
  <si>
    <t>子项代码</t>
  </si>
  <si>
    <t>根据金融机构资产负债项目月报表（A1411、A2411）</t>
  </si>
  <si>
    <t>本金</t>
  </si>
  <si>
    <t>利息</t>
  </si>
  <si>
    <t>合计</t>
  </si>
  <si>
    <t>代码</t>
  </si>
  <si>
    <t>科目名称</t>
  </si>
  <si>
    <t>金额</t>
  </si>
  <si>
    <t>一、境内存款</t>
  </si>
  <si>
    <t>（一）个人存款</t>
  </si>
  <si>
    <t>（一）个人存款应付利息</t>
  </si>
  <si>
    <t>（二）单位存款</t>
  </si>
  <si>
    <t>（二）单位存款应付利息</t>
  </si>
  <si>
    <t>其中：住房公积金存款</t>
  </si>
  <si>
    <t>（三）财政性存款</t>
  </si>
  <si>
    <t>（三）财政性存款应付利息</t>
  </si>
  <si>
    <t>社保基金存款</t>
  </si>
  <si>
    <t>（四）非存款类金融机构存款</t>
  </si>
  <si>
    <t>（四）非存款类金融机构存款应付利息</t>
  </si>
  <si>
    <t>三、高级管理人员在本机构存款</t>
  </si>
  <si>
    <t>三、高级管理人员在本机构存款利息</t>
  </si>
  <si>
    <t>四、不予保险的其他存款</t>
  </si>
  <si>
    <t>四、不予保险的其他存款利息</t>
  </si>
  <si>
    <t>境内存款合计</t>
  </si>
  <si>
    <t>被保险存款合计</t>
  </si>
  <si>
    <t>被保险存款利息合计</t>
  </si>
  <si>
    <r>
      <rPr>
        <sz val="9"/>
        <rFont val="FangSong"/>
        <charset val="134"/>
      </rPr>
      <t>(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一)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个人存款</t>
    </r>
  </si>
  <si>
    <r>
      <rPr>
        <sz val="9"/>
        <rFont val="Times New Roman"/>
        <charset val="134"/>
      </rPr>
      <t>12MI1/22MI1</t>
    </r>
  </si>
  <si>
    <r>
      <rPr>
        <sz val="9"/>
        <rFont val="Times New Roman"/>
        <charset val="134"/>
      </rPr>
      <t xml:space="preserve">  2.</t>
    </r>
    <r>
      <rPr>
        <sz val="9"/>
        <rFont val="FangSong"/>
        <charset val="134"/>
      </rPr>
      <t>个人存款</t>
    </r>
  </si>
  <si>
    <t>2003</t>
  </si>
  <si>
    <t>个人活期存款</t>
  </si>
  <si>
    <t>223103</t>
  </si>
  <si>
    <t>个人活期存款应付利息</t>
  </si>
  <si>
    <t>2004</t>
  </si>
  <si>
    <t>个人定期存款</t>
  </si>
  <si>
    <t>223104</t>
  </si>
  <si>
    <t>个人定期存款应付利息</t>
  </si>
  <si>
    <t>200503</t>
  </si>
  <si>
    <t>个人银行卡活期存款</t>
  </si>
  <si>
    <t>22310503</t>
  </si>
  <si>
    <t>个人银行卡活期存款应付利息</t>
  </si>
  <si>
    <t>200504</t>
  </si>
  <si>
    <t>个人银行卡定期存款</t>
  </si>
  <si>
    <t>22310504</t>
  </si>
  <si>
    <t>个人银行卡定期存款应付利息</t>
  </si>
  <si>
    <t>2014</t>
  </si>
  <si>
    <t>保证金存款(个人部分）</t>
  </si>
  <si>
    <t>223108</t>
  </si>
  <si>
    <t>保证金存款应付利息(个人部分)</t>
  </si>
  <si>
    <r>
      <rPr>
        <sz val="9"/>
        <rFont val="Times New Roman"/>
        <charset val="134"/>
      </rPr>
      <t>12MI3/22MI3</t>
    </r>
  </si>
  <si>
    <r>
      <rPr>
        <sz val="9"/>
        <rFont val="FangSong"/>
        <charset val="134"/>
      </rPr>
      <t>其中：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非居民</t>
    </r>
  </si>
  <si>
    <r>
      <rPr>
        <sz val="9"/>
        <rFont val="Times New Roman"/>
        <charset val="134"/>
      </rPr>
      <t>12MI5/22MI5</t>
    </r>
  </si>
  <si>
    <r>
      <rPr>
        <sz val="9"/>
        <rFont val="Times New Roman"/>
        <charset val="134"/>
      </rPr>
      <t>12MI7/22MI7</t>
    </r>
  </si>
  <si>
    <r>
      <rPr>
        <sz val="9"/>
        <rFont val="Times New Roman"/>
        <charset val="134"/>
      </rPr>
      <t>12MI9/22MI9</t>
    </r>
  </si>
  <si>
    <r>
      <rPr>
        <sz val="9"/>
        <rFont val="Times New Roman"/>
        <charset val="134"/>
      </rPr>
      <t>12MIB/22MIB</t>
    </r>
  </si>
  <si>
    <r>
      <rPr>
        <sz val="9"/>
        <rFont val="Times New Roman"/>
        <charset val="134"/>
      </rPr>
      <t>12MID/22MID</t>
    </r>
  </si>
  <si>
    <r>
      <rPr>
        <sz val="9"/>
        <rFont val="Times New Roman"/>
        <charset val="134"/>
      </rPr>
      <t>12MIF/22MIF</t>
    </r>
  </si>
  <si>
    <r>
      <rPr>
        <sz val="9"/>
        <rFont val="Times New Roman"/>
        <charset val="134"/>
      </rPr>
      <t>12MIH/22MIH</t>
    </r>
  </si>
  <si>
    <r>
      <rPr>
        <sz val="9"/>
        <rFont val="Times New Roman"/>
        <charset val="134"/>
      </rPr>
      <t>12N1A/22N1A</t>
    </r>
  </si>
  <si>
    <r>
      <rPr>
        <sz val="9"/>
        <rFont val="Times New Roman"/>
        <charset val="134"/>
      </rPr>
      <t>12MW5/22MW5</t>
    </r>
  </si>
  <si>
    <r>
      <rPr>
        <sz val="9"/>
        <rFont val="FangSong"/>
        <charset val="134"/>
      </rPr>
      <t>境内个人</t>
    </r>
  </si>
  <si>
    <r>
      <rPr>
        <sz val="9"/>
        <rFont val="FangSong"/>
        <charset val="134"/>
      </rPr>
      <t>(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二)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单位存款</t>
    </r>
  </si>
  <si>
    <r>
      <rPr>
        <sz val="9"/>
        <rFont val="Times New Roman"/>
        <charset val="134"/>
      </rPr>
      <t>12MG3/22MG3</t>
    </r>
  </si>
  <si>
    <r>
      <rPr>
        <sz val="9"/>
        <rFont val="Times New Roman"/>
        <charset val="134"/>
      </rPr>
      <t xml:space="preserve">  1.</t>
    </r>
    <r>
      <rPr>
        <sz val="9"/>
        <rFont val="FangSong"/>
        <charset val="134"/>
      </rPr>
      <t>单位存款</t>
    </r>
  </si>
  <si>
    <t>2001</t>
  </si>
  <si>
    <t>单位活期存款</t>
  </si>
  <si>
    <t>223101</t>
  </si>
  <si>
    <t>单位活期存款应付利息</t>
  </si>
  <si>
    <t>2002</t>
  </si>
  <si>
    <t>单位定期存款</t>
  </si>
  <si>
    <t>223102</t>
  </si>
  <si>
    <t>单位定期存款应付利息</t>
  </si>
  <si>
    <t>200501</t>
  </si>
  <si>
    <t>单位银行卡活期存款</t>
  </si>
  <si>
    <t>22310501</t>
  </si>
  <si>
    <t>单位银行卡活期存款应付利息</t>
  </si>
  <si>
    <t>200502</t>
  </si>
  <si>
    <t>单位银行卡定期存款</t>
  </si>
  <si>
    <t>22310502</t>
  </si>
  <si>
    <t>单位银行卡定期存款应付利息</t>
  </si>
  <si>
    <t>200601</t>
  </si>
  <si>
    <t>财政性存款</t>
  </si>
  <si>
    <t>22310601</t>
  </si>
  <si>
    <t>财政性存款应付利息</t>
  </si>
  <si>
    <t>保证金存款（单位部分）</t>
  </si>
  <si>
    <t>保证金存款应付利息(单位部分)</t>
  </si>
  <si>
    <r>
      <rPr>
        <sz val="9"/>
        <rFont val="Times New Roman"/>
        <charset val="134"/>
      </rPr>
      <t>12MGA/22MGA</t>
    </r>
  </si>
  <si>
    <r>
      <rPr>
        <sz val="9"/>
        <rFont val="FangSong"/>
        <charset val="134"/>
      </rPr>
      <t>非居民活期存款</t>
    </r>
  </si>
  <si>
    <r>
      <rPr>
        <sz val="9"/>
        <rFont val="Times New Roman"/>
        <charset val="134"/>
      </rPr>
      <t>12MGH/22MGH</t>
    </r>
  </si>
  <si>
    <r>
      <rPr>
        <sz val="9"/>
        <rFont val="FangSong"/>
        <charset val="134"/>
      </rPr>
      <t>非居民定期存款</t>
    </r>
  </si>
  <si>
    <r>
      <rPr>
        <sz val="9"/>
        <rFont val="Times New Roman"/>
        <charset val="134"/>
      </rPr>
      <t>12MGQ/22MGQ</t>
    </r>
  </si>
  <si>
    <r>
      <rPr>
        <sz val="9"/>
        <rFont val="FangSong"/>
        <charset val="134"/>
      </rPr>
      <t>非居民通知存款</t>
    </r>
  </si>
  <si>
    <r>
      <rPr>
        <sz val="9"/>
        <rFont val="Times New Roman"/>
        <charset val="134"/>
      </rPr>
      <t>12MH3/22MH3</t>
    </r>
  </si>
  <si>
    <r>
      <rPr>
        <sz val="9"/>
        <rFont val="FangSong"/>
        <charset val="134"/>
      </rPr>
      <t>非居民协议存款</t>
    </r>
  </si>
  <si>
    <r>
      <rPr>
        <sz val="9"/>
        <rFont val="Times New Roman"/>
        <charset val="134"/>
      </rPr>
      <t>12MHA/22MHA</t>
    </r>
  </si>
  <si>
    <r>
      <rPr>
        <sz val="9"/>
        <rFont val="FangSong"/>
        <charset val="134"/>
      </rPr>
      <t>非居民协定存款</t>
    </r>
  </si>
  <si>
    <r>
      <rPr>
        <sz val="9"/>
        <rFont val="Times New Roman"/>
        <charset val="134"/>
      </rPr>
      <t>12MHH/22MHH</t>
    </r>
  </si>
  <si>
    <r>
      <rPr>
        <sz val="9"/>
        <rFont val="FangSong"/>
        <charset val="134"/>
      </rPr>
      <t>非居民保证金存款</t>
    </r>
  </si>
  <si>
    <r>
      <rPr>
        <sz val="9"/>
        <rFont val="Times New Roman"/>
        <charset val="134"/>
      </rPr>
      <t>12MHQ/22MHQ</t>
    </r>
  </si>
  <si>
    <r>
      <rPr>
        <sz val="9"/>
        <rFont val="FangSong"/>
        <charset val="134"/>
      </rPr>
      <t>非居民结构性存款</t>
    </r>
  </si>
  <si>
    <r>
      <rPr>
        <sz val="9"/>
        <rFont val="Times New Roman"/>
        <charset val="134"/>
      </rPr>
      <t>12N18/22N18</t>
    </r>
  </si>
  <si>
    <r>
      <rPr>
        <sz val="9"/>
        <rFont val="FangSong"/>
        <charset val="134"/>
      </rPr>
      <t>非居民信用卡存款</t>
    </r>
  </si>
  <si>
    <r>
      <rPr>
        <sz val="9"/>
        <rFont val="Times New Roman"/>
        <charset val="134"/>
      </rPr>
      <t>12MIV/22MIV</t>
    </r>
  </si>
  <si>
    <r>
      <rPr>
        <sz val="9"/>
        <rFont val="Times New Roman"/>
        <charset val="134"/>
      </rPr>
      <t xml:space="preserve">  4.</t>
    </r>
    <r>
      <rPr>
        <sz val="9"/>
        <rFont val="FangSong"/>
        <charset val="134"/>
      </rPr>
      <t>临时性存款</t>
    </r>
  </si>
  <si>
    <t>2011</t>
  </si>
  <si>
    <t>应解汇款（单位部分）</t>
  </si>
  <si>
    <r>
      <rPr>
        <sz val="9"/>
        <rFont val="Times New Roman"/>
        <charset val="134"/>
      </rPr>
      <t>12MIX/22MIX</t>
    </r>
  </si>
  <si>
    <r>
      <rPr>
        <sz val="9"/>
        <rFont val="FangSong"/>
        <charset val="134"/>
      </rPr>
      <t>其中：境外汇入应解汇款</t>
    </r>
  </si>
  <si>
    <r>
      <rPr>
        <sz val="9"/>
        <rFont val="Times New Roman"/>
        <charset val="134"/>
      </rPr>
      <t>12MW6/22MW6</t>
    </r>
  </si>
  <si>
    <r>
      <rPr>
        <sz val="9"/>
        <rFont val="FangSong"/>
        <charset val="134"/>
      </rPr>
      <t>境内非金融企业</t>
    </r>
  </si>
  <si>
    <r>
      <rPr>
        <sz val="9"/>
        <rFont val="Times New Roman"/>
        <charset val="134"/>
      </rPr>
      <t>12MW7/22MW7</t>
    </r>
  </si>
  <si>
    <r>
      <rPr>
        <sz val="9"/>
        <rFont val="FangSong"/>
        <charset val="134"/>
      </rPr>
      <t>境内机关团体</t>
    </r>
  </si>
  <si>
    <r>
      <rPr>
        <sz val="9"/>
        <rFont val="Times New Roman"/>
        <charset val="134"/>
      </rPr>
      <t>12MW8/22MW8</t>
    </r>
  </si>
  <si>
    <r>
      <rPr>
        <sz val="9"/>
        <rFont val="FangSong"/>
        <charset val="134"/>
      </rPr>
      <t>境内社保基金</t>
    </r>
  </si>
  <si>
    <r>
      <rPr>
        <sz val="9"/>
        <rFont val="Times New Roman"/>
        <charset val="134"/>
      </rPr>
      <t>12MW9/22MW9</t>
    </r>
  </si>
  <si>
    <r>
      <rPr>
        <sz val="9"/>
        <rFont val="FangSong"/>
        <charset val="134"/>
      </rPr>
      <t>境内部队</t>
    </r>
  </si>
  <si>
    <r>
      <rPr>
        <sz val="9"/>
        <rFont val="Times New Roman"/>
        <charset val="134"/>
      </rPr>
      <t>12MWA/22MWA</t>
    </r>
  </si>
  <si>
    <r>
      <rPr>
        <sz val="9"/>
        <rFont val="FangSong"/>
        <charset val="134"/>
      </rPr>
      <t>境内住房公积金</t>
    </r>
  </si>
  <si>
    <r>
      <rPr>
        <sz val="9"/>
        <rFont val="Times New Roman"/>
        <charset val="134"/>
      </rPr>
      <t>22MMU</t>
    </r>
  </si>
  <si>
    <r>
      <rPr>
        <sz val="9"/>
        <rFont val="Times New Roman"/>
        <charset val="134"/>
      </rPr>
      <t xml:space="preserve">  3.</t>
    </r>
    <r>
      <rPr>
        <sz val="9"/>
        <rFont val="FangSong"/>
        <charset val="134"/>
      </rPr>
      <t>专项存款(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中行专用)</t>
    </r>
  </si>
  <si>
    <r>
      <rPr>
        <sz val="9"/>
        <rFont val="Times New Roman"/>
        <charset val="134"/>
      </rPr>
      <t>12MG9/22MG9</t>
    </r>
  </si>
  <si>
    <r>
      <rPr>
        <sz val="9"/>
        <rFont val="FangSong"/>
        <charset val="134"/>
      </rPr>
      <t>住房公积金活期存款</t>
    </r>
  </si>
  <si>
    <r>
      <rPr>
        <sz val="9"/>
        <rFont val="Times New Roman"/>
        <charset val="134"/>
      </rPr>
      <t>12MGG/22MGG</t>
    </r>
  </si>
  <si>
    <r>
      <rPr>
        <sz val="9"/>
        <rFont val="FangSong"/>
        <charset val="134"/>
      </rPr>
      <t>住房公积金定期存款</t>
    </r>
  </si>
  <si>
    <r>
      <rPr>
        <sz val="9"/>
        <rFont val="Times New Roman"/>
        <charset val="134"/>
      </rPr>
      <t>12MGP/22MGP</t>
    </r>
  </si>
  <si>
    <r>
      <rPr>
        <sz val="9"/>
        <rFont val="FangSong"/>
        <charset val="134"/>
      </rPr>
      <t>住房公积金通知存款</t>
    </r>
  </si>
  <si>
    <r>
      <rPr>
        <sz val="9"/>
        <rFont val="Times New Roman"/>
        <charset val="134"/>
      </rPr>
      <t>12MH2/22MH2</t>
    </r>
  </si>
  <si>
    <r>
      <rPr>
        <sz val="9"/>
        <rFont val="FangSong"/>
        <charset val="134"/>
      </rPr>
      <t>住房公积金协议存款</t>
    </r>
  </si>
  <si>
    <r>
      <rPr>
        <sz val="9"/>
        <rFont val="Times New Roman"/>
        <charset val="134"/>
      </rPr>
      <t>12MH9/22MH9</t>
    </r>
  </si>
  <si>
    <r>
      <rPr>
        <sz val="9"/>
        <rFont val="FangSong"/>
        <charset val="134"/>
      </rPr>
      <t>住房公积金协定存款</t>
    </r>
  </si>
  <si>
    <r>
      <rPr>
        <sz val="9"/>
        <rFont val="Times New Roman"/>
        <charset val="134"/>
      </rPr>
      <t>12MHG/22MHG</t>
    </r>
  </si>
  <si>
    <r>
      <rPr>
        <sz val="9"/>
        <rFont val="FangSong"/>
        <charset val="134"/>
      </rPr>
      <t>住房公积金保证金存款</t>
    </r>
  </si>
  <si>
    <r>
      <rPr>
        <sz val="9"/>
        <rFont val="Times New Roman"/>
        <charset val="134"/>
      </rPr>
      <t>12MHP/22MHP</t>
    </r>
  </si>
  <si>
    <r>
      <rPr>
        <sz val="9"/>
        <rFont val="FangSong"/>
        <charset val="134"/>
      </rPr>
      <t>住房公积金结构性存款</t>
    </r>
  </si>
  <si>
    <r>
      <rPr>
        <sz val="9"/>
        <rFont val="Times New Roman"/>
        <charset val="134"/>
      </rPr>
      <t>12N17/22N17</t>
    </r>
  </si>
  <si>
    <r>
      <rPr>
        <sz val="9"/>
        <rFont val="FangSong"/>
        <charset val="134"/>
      </rPr>
      <t>住房公积金信用卡存款</t>
    </r>
  </si>
  <si>
    <r>
      <rPr>
        <sz val="9"/>
        <rFont val="Times New Roman"/>
        <charset val="134"/>
      </rPr>
      <t>12MG7/22MG7</t>
    </r>
  </si>
  <si>
    <r>
      <rPr>
        <sz val="9"/>
        <rFont val="FangSong"/>
        <charset val="134"/>
      </rPr>
      <t>社保基金活期存款</t>
    </r>
  </si>
  <si>
    <r>
      <rPr>
        <sz val="9"/>
        <rFont val="Times New Roman"/>
        <charset val="134"/>
      </rPr>
      <t>12MGE/22MGE</t>
    </r>
  </si>
  <si>
    <r>
      <rPr>
        <sz val="9"/>
        <rFont val="FangSong"/>
        <charset val="134"/>
      </rPr>
      <t>社保基金定期存款</t>
    </r>
  </si>
  <si>
    <r>
      <rPr>
        <sz val="9"/>
        <rFont val="Times New Roman"/>
        <charset val="134"/>
      </rPr>
      <t>12MGM/22MGM</t>
    </r>
  </si>
  <si>
    <r>
      <rPr>
        <sz val="9"/>
        <rFont val="FangSong"/>
        <charset val="134"/>
      </rPr>
      <t>社保基金通知存款</t>
    </r>
  </si>
  <si>
    <r>
      <rPr>
        <sz val="9"/>
        <rFont val="Times New Roman"/>
        <charset val="134"/>
      </rPr>
      <t>12MGU/22MGU</t>
    </r>
  </si>
  <si>
    <r>
      <rPr>
        <sz val="9"/>
        <rFont val="FangSong"/>
        <charset val="134"/>
      </rPr>
      <t>社保基金协议存款</t>
    </r>
  </si>
  <si>
    <r>
      <rPr>
        <sz val="9"/>
        <rFont val="Times New Roman"/>
        <charset val="134"/>
      </rPr>
      <t>12MH7/22MH7</t>
    </r>
  </si>
  <si>
    <r>
      <rPr>
        <sz val="9"/>
        <rFont val="FangSong"/>
        <charset val="134"/>
      </rPr>
      <t>社保基金协定存款</t>
    </r>
  </si>
  <si>
    <r>
      <rPr>
        <sz val="9"/>
        <rFont val="Times New Roman"/>
        <charset val="134"/>
      </rPr>
      <t>12MHE/22MHE</t>
    </r>
  </si>
  <si>
    <r>
      <rPr>
        <sz val="9"/>
        <rFont val="FangSong"/>
        <charset val="134"/>
      </rPr>
      <t>社保基金保证金存款</t>
    </r>
  </si>
  <si>
    <r>
      <rPr>
        <sz val="9"/>
        <rFont val="Times New Roman"/>
        <charset val="134"/>
      </rPr>
      <t>12MHM/22MHM</t>
    </r>
  </si>
  <si>
    <r>
      <rPr>
        <sz val="9"/>
        <rFont val="FangSong"/>
        <charset val="134"/>
      </rPr>
      <t>社保基金结构性存款</t>
    </r>
  </si>
  <si>
    <r>
      <rPr>
        <sz val="9"/>
        <rFont val="Times New Roman"/>
        <charset val="134"/>
      </rPr>
      <t>12N15/22N15</t>
    </r>
  </si>
  <si>
    <r>
      <rPr>
        <sz val="9"/>
        <rFont val="FangSong"/>
        <charset val="134"/>
      </rPr>
      <t>社保基金信用卡存款</t>
    </r>
  </si>
  <si>
    <r>
      <rPr>
        <sz val="9"/>
        <rFont val="FangSong"/>
        <charset val="134"/>
      </rPr>
      <t>(三)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财政性存款</t>
    </r>
  </si>
  <si>
    <r>
      <rPr>
        <sz val="9"/>
        <rFont val="Times New Roman"/>
        <charset val="134"/>
      </rPr>
      <t xml:space="preserve">  1.  </t>
    </r>
    <r>
      <rPr>
        <sz val="9"/>
        <rFont val="FangSong"/>
        <charset val="134"/>
      </rPr>
      <t>国库定期存款</t>
    </r>
  </si>
  <si>
    <r>
      <rPr>
        <sz val="9"/>
        <rFont val="Times New Roman"/>
        <charset val="134"/>
      </rPr>
      <t xml:space="preserve">  2.  </t>
    </r>
    <r>
      <rPr>
        <sz val="9"/>
        <rFont val="FangSong"/>
        <charset val="134"/>
      </rPr>
      <t>代理财政性存款</t>
    </r>
  </si>
  <si>
    <r>
      <rPr>
        <sz val="9"/>
        <rFont val="Times New Roman"/>
        <charset val="204"/>
      </rPr>
      <t xml:space="preserve">1.  </t>
    </r>
    <r>
      <rPr>
        <sz val="9"/>
        <rFont val="FangSong"/>
        <charset val="204"/>
      </rPr>
      <t>国库定期存款</t>
    </r>
  </si>
  <si>
    <r>
      <rPr>
        <sz val="9"/>
        <rFont val="Times New Roman"/>
        <charset val="134"/>
      </rPr>
      <t>12MIS/22MIS</t>
    </r>
  </si>
  <si>
    <r>
      <rPr>
        <sz val="9"/>
        <rFont val="FangSong"/>
        <charset val="134"/>
      </rPr>
      <t>国库定期存款</t>
    </r>
  </si>
  <si>
    <t>200602</t>
  </si>
  <si>
    <t>国库定期存款</t>
  </si>
  <si>
    <t>22310602</t>
  </si>
  <si>
    <t>国库定期存款应付利息</t>
  </si>
  <si>
    <t>2029</t>
  </si>
  <si>
    <r>
      <rPr>
        <sz val="9"/>
        <rFont val="Times New Roman"/>
        <charset val="134"/>
      </rPr>
      <t xml:space="preserve">2.  </t>
    </r>
    <r>
      <rPr>
        <sz val="9"/>
        <rFont val="FangSong"/>
        <charset val="134"/>
      </rPr>
      <t>代理财政性存款</t>
    </r>
  </si>
  <si>
    <r>
      <rPr>
        <sz val="9"/>
        <rFont val="Times New Roman"/>
        <charset val="134"/>
      </rPr>
      <t>12MIM/22MIM</t>
    </r>
  </si>
  <si>
    <r>
      <rPr>
        <sz val="9"/>
        <rFont val="FangSong"/>
        <charset val="134"/>
      </rPr>
      <t>代理财政存款</t>
    </r>
  </si>
  <si>
    <t>2007</t>
  </si>
  <si>
    <t>待结算财政款项</t>
  </si>
  <si>
    <t>223107</t>
  </si>
  <si>
    <t>待结算财政款项应付利息</t>
  </si>
  <si>
    <t>2027</t>
  </si>
  <si>
    <t>国库集中收缴款项</t>
  </si>
  <si>
    <t>2028</t>
  </si>
  <si>
    <t>国库集中支付款项</t>
  </si>
  <si>
    <r>
      <rPr>
        <sz val="9"/>
        <rFont val="FangSong"/>
        <charset val="134"/>
      </rPr>
      <t>(四)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非存款类金融机构存款</t>
    </r>
  </si>
  <si>
    <r>
      <rPr>
        <sz val="9"/>
        <rFont val="Times New Roman"/>
        <charset val="134"/>
      </rPr>
      <t>12MKG/22MKG</t>
    </r>
  </si>
  <si>
    <r>
      <rPr>
        <sz val="9"/>
        <rFont val="FangSong"/>
        <charset val="134"/>
      </rPr>
      <t>境内银行业非存款类金融机构存放</t>
    </r>
  </si>
  <si>
    <r>
      <rPr>
        <sz val="9"/>
        <rFont val="Times New Roman"/>
        <charset val="134"/>
      </rPr>
      <t>12MKH/22MKH</t>
    </r>
  </si>
  <si>
    <r>
      <rPr>
        <sz val="9"/>
        <rFont val="FangSong"/>
        <charset val="134"/>
      </rPr>
      <t>境内证券业金融机构存放</t>
    </r>
  </si>
  <si>
    <r>
      <rPr>
        <sz val="9"/>
        <rFont val="Times New Roman"/>
        <charset val="134"/>
      </rPr>
      <t>12MKP/22MKP</t>
    </r>
  </si>
  <si>
    <r>
      <rPr>
        <sz val="9"/>
        <rFont val="FangSong"/>
        <charset val="134"/>
      </rPr>
      <t>境内保险业金融机构存放</t>
    </r>
  </si>
  <si>
    <t>201705</t>
  </si>
  <si>
    <t>保险公司存放</t>
  </si>
  <si>
    <t>保险公司存放应付利息</t>
  </si>
  <si>
    <r>
      <rPr>
        <sz val="9"/>
        <rFont val="Times New Roman"/>
        <charset val="134"/>
      </rPr>
      <t>12MKQ/22MKQ</t>
    </r>
  </si>
  <si>
    <r>
      <rPr>
        <sz val="9"/>
        <rFont val="FangSong"/>
        <charset val="134"/>
      </rPr>
      <t>境内结算清算类金融机构存放</t>
    </r>
  </si>
  <si>
    <r>
      <rPr>
        <sz val="9"/>
        <rFont val="Times New Roman"/>
        <charset val="134"/>
      </rPr>
      <t>12MKW/22MKW</t>
    </r>
  </si>
  <si>
    <r>
      <rPr>
        <sz val="9"/>
        <rFont val="FangSong"/>
        <charset val="134"/>
      </rPr>
      <t>境内金融控股公司存放</t>
    </r>
  </si>
  <si>
    <r>
      <rPr>
        <sz val="9"/>
        <rFont val="Times New Roman"/>
        <charset val="134"/>
      </rPr>
      <t>12MKY/22MKY</t>
    </r>
  </si>
  <si>
    <r>
      <rPr>
        <sz val="9"/>
        <rFont val="FangSong"/>
        <charset val="134"/>
      </rPr>
      <t>境内特定目的载体存放</t>
    </r>
  </si>
  <si>
    <r>
      <rPr>
        <sz val="9"/>
        <rFont val="Times New Roman"/>
        <charset val="134"/>
      </rPr>
      <t>12MM2/22MM2</t>
    </r>
  </si>
  <si>
    <r>
      <rPr>
        <sz val="9"/>
        <rFont val="FangSong"/>
        <charset val="134"/>
      </rPr>
      <t>境内其他金融机构存放</t>
    </r>
  </si>
  <si>
    <t>201799</t>
  </si>
  <si>
    <t>其他存放</t>
  </si>
  <si>
    <t>22311099</t>
  </si>
  <si>
    <t>其他存放应付利息</t>
  </si>
  <si>
    <r>
      <rPr>
        <sz val="9"/>
        <rFont val="Times New Roman"/>
        <charset val="134"/>
      </rPr>
      <t>12MMG/22MMG</t>
    </r>
  </si>
  <si>
    <r>
      <rPr>
        <sz val="9"/>
        <rFont val="Times New Roman"/>
        <charset val="134"/>
      </rPr>
      <t>12MMH/22MMH</t>
    </r>
  </si>
  <si>
    <r>
      <rPr>
        <sz val="9"/>
        <rFont val="Times New Roman"/>
        <charset val="134"/>
      </rPr>
      <t>12MMJ/22MMJ</t>
    </r>
  </si>
  <si>
    <r>
      <rPr>
        <sz val="9"/>
        <rFont val="Times New Roman"/>
        <charset val="134"/>
      </rPr>
      <t>12MMK/22MMK</t>
    </r>
  </si>
  <si>
    <r>
      <rPr>
        <sz val="9"/>
        <rFont val="Times New Roman"/>
        <charset val="134"/>
      </rPr>
      <t>12MMM/22MMM</t>
    </r>
  </si>
  <si>
    <r>
      <rPr>
        <sz val="9"/>
        <rFont val="Times New Roman"/>
        <charset val="134"/>
      </rPr>
      <t>12MMP/22MMP</t>
    </r>
  </si>
  <si>
    <r>
      <rPr>
        <sz val="9"/>
        <rFont val="Times New Roman"/>
        <charset val="134"/>
      </rPr>
      <t>12MMQ/22MMQ</t>
    </r>
  </si>
  <si>
    <r>
      <rPr>
        <sz val="9"/>
        <rFont val="Times New Roman"/>
        <charset val="134"/>
      </rPr>
      <t>12MMW/22MMW</t>
    </r>
  </si>
  <si>
    <r>
      <rPr>
        <sz val="9"/>
        <rFont val="FangSong"/>
        <charset val="134"/>
      </rPr>
      <t>其中：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外汇储备委托贷款资金</t>
    </r>
  </si>
  <si>
    <r>
      <rPr>
        <sz val="9"/>
        <rFont val="Times New Roman"/>
        <charset val="134"/>
      </rPr>
      <t>12MMX/22MMX</t>
    </r>
  </si>
  <si>
    <r>
      <rPr>
        <sz val="9"/>
        <rFont val="Times New Roman"/>
        <charset val="134"/>
      </rPr>
      <t>12MW2/22MW2</t>
    </r>
  </si>
  <si>
    <r>
      <rPr>
        <sz val="9"/>
        <rFont val="FangSong"/>
        <charset val="134"/>
      </rPr>
      <t>境内银行业非存款类金融机构</t>
    </r>
  </si>
  <si>
    <r>
      <rPr>
        <sz val="9"/>
        <rFont val="Times New Roman"/>
        <charset val="134"/>
      </rPr>
      <t>12MW3/22MW3</t>
    </r>
  </si>
  <si>
    <r>
      <rPr>
        <sz val="9"/>
        <rFont val="FangSong"/>
        <charset val="134"/>
      </rPr>
      <t>境内其他金融机构</t>
    </r>
  </si>
  <si>
    <r>
      <rPr>
        <sz val="9"/>
        <rFont val="Times New Roman"/>
        <charset val="134"/>
      </rPr>
      <t>12MWM/22MWM</t>
    </r>
  </si>
  <si>
    <r>
      <rPr>
        <sz val="9"/>
        <rFont val="FangSong"/>
        <charset val="134"/>
      </rPr>
      <t>境内金融机构</t>
    </r>
  </si>
  <si>
    <r>
      <rPr>
        <sz val="9"/>
        <rFont val="FangSong"/>
        <charset val="134"/>
      </rPr>
      <t>二、境外存款</t>
    </r>
  </si>
  <si>
    <r>
      <rPr>
        <sz val="9"/>
        <rFont val="FangSong"/>
        <charset val="134"/>
      </rPr>
      <t xml:space="preserve">  </t>
    </r>
    <r>
      <rPr>
        <sz val="9"/>
        <rFont val="FangSong"/>
        <charset val="134"/>
      </rPr>
      <t>(一)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个人存款</t>
    </r>
  </si>
  <si>
    <r>
      <rPr>
        <sz val="9"/>
        <rFont val="FangSong"/>
        <charset val="134"/>
      </rPr>
      <t xml:space="preserve">  </t>
    </r>
    <r>
      <rPr>
        <sz val="9"/>
        <rFont val="FangSong"/>
        <charset val="134"/>
      </rPr>
      <t>(二)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单位存款</t>
    </r>
  </si>
  <si>
    <r>
      <rPr>
        <sz val="9"/>
        <rFont val="FangSong"/>
        <charset val="134"/>
      </rPr>
      <t xml:space="preserve">  </t>
    </r>
    <r>
      <rPr>
        <sz val="9"/>
        <rFont val="FangSong"/>
        <charset val="134"/>
      </rPr>
      <t>(三)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境外同业存放</t>
    </r>
  </si>
  <si>
    <r>
      <rPr>
        <sz val="9"/>
        <rFont val="Times New Roman"/>
        <charset val="134"/>
      </rPr>
      <t>12N1E/22N1E</t>
    </r>
  </si>
  <si>
    <r>
      <rPr>
        <sz val="9"/>
        <rFont val="FangSong"/>
        <charset val="134"/>
      </rPr>
      <t>个人</t>
    </r>
  </si>
  <si>
    <r>
      <rPr>
        <sz val="9"/>
        <rFont val="Times New Roman"/>
        <charset val="134"/>
      </rPr>
      <t>12N1D/22N1D</t>
    </r>
  </si>
  <si>
    <r>
      <rPr>
        <sz val="9"/>
        <rFont val="FangSong"/>
        <charset val="134"/>
      </rPr>
      <t>单位</t>
    </r>
  </si>
  <si>
    <r>
      <rPr>
        <sz val="9"/>
        <rFont val="FangSong"/>
        <charset val="134"/>
      </rPr>
      <t>(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三)</t>
    </r>
    <r>
      <rPr>
        <sz val="9"/>
        <rFont val="FangSong"/>
        <charset val="134"/>
      </rPr>
      <t xml:space="preserve"> </t>
    </r>
    <r>
      <rPr>
        <sz val="9"/>
        <rFont val="FangSong"/>
        <charset val="134"/>
      </rPr>
      <t>境外同业存放</t>
    </r>
  </si>
  <si>
    <r>
      <rPr>
        <sz val="9"/>
        <rFont val="Times New Roman"/>
        <charset val="134"/>
      </rPr>
      <t>12MM3/22MM3</t>
    </r>
  </si>
  <si>
    <r>
      <rPr>
        <sz val="9"/>
        <rFont val="FangSong"/>
        <charset val="134"/>
      </rPr>
      <t>境外金融机构存放</t>
    </r>
  </si>
  <si>
    <t>境外同业存放</t>
  </si>
  <si>
    <t>境外同业存放应付利息</t>
  </si>
  <si>
    <r>
      <rPr>
        <sz val="9"/>
        <rFont val="Times New Roman"/>
        <charset val="134"/>
      </rPr>
      <t>12MMR/22MMR</t>
    </r>
  </si>
  <si>
    <r>
      <rPr>
        <sz val="9"/>
        <rFont val="Times New Roman"/>
        <charset val="134"/>
      </rPr>
      <t>12MW4/22MW4</t>
    </r>
  </si>
  <si>
    <r>
      <rPr>
        <sz val="9"/>
        <rFont val="FangSong"/>
        <charset val="134"/>
      </rPr>
      <t>境外金融机构</t>
    </r>
  </si>
  <si>
    <t>存款归属统计表与IRP001核对</t>
  </si>
  <si>
    <t>差额</t>
  </si>
  <si>
    <t>会计科目与IRP001核对</t>
  </si>
  <si>
    <t>项目名称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</si>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</sst>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;[Red]0.00"/>
  </numFmts>
  <fonts count="42">
    <font>
      <sz val="12"/>
      <name val="宋体"/>
      <charset val="134"/>
    </font>
    <font>
      <sz val="12"/>
      <name val="仿宋_GB2312"/>
      <charset val="134"/>
    </font>
    <font>
      <b/>
      <sz val="12"/>
      <name val="仿宋_GB2312"/>
      <charset val="134"/>
    </font>
    <font>
      <sz val="16"/>
      <name val="黑体"/>
      <charset val="134"/>
    </font>
    <font>
      <b/>
      <sz val="22"/>
      <name val="方正小标宋_GBK"/>
      <charset val="134"/>
    </font>
    <font>
      <sz val="16"/>
      <name val="华文中宋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color rgb="FF000000"/>
      <name val="Times New Roman"/>
      <charset val="134"/>
    </font>
    <font>
      <sz val="11"/>
      <color rgb="FF000000"/>
      <name val="Arial"/>
      <charset val="204"/>
    </font>
    <font>
      <sz val="10"/>
      <name val="仿宋_GB2312"/>
      <charset val="134"/>
    </font>
    <font>
      <sz val="10"/>
      <color indexed="8"/>
      <name val="宋体"/>
      <charset val="134"/>
    </font>
    <font>
      <sz val="11"/>
      <color rgb="FF000000"/>
      <name val="宋体"/>
      <charset val="204"/>
    </font>
    <font>
      <sz val="9"/>
      <color rgb="FF000000"/>
      <name val="Arial"/>
      <charset val="134"/>
    </font>
    <font>
      <sz val="9"/>
      <name val="FangSong"/>
      <charset val="204"/>
    </font>
    <font>
      <sz val="9"/>
      <name val="Times New Roman"/>
      <charset val="20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2"/>
      <color indexed="20"/>
      <name val="宋体"/>
      <charset val="134"/>
    </font>
    <font>
      <sz val="9"/>
      <name val="Times New Roman"/>
      <charset val="134"/>
    </font>
    <font>
      <sz val="9"/>
      <name val="FangSong"/>
      <charset val="134"/>
    </font>
    <font>
      <sz val="9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2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28" applyNumberFormat="0" applyAlignment="0" applyProtection="0">
      <alignment vertical="center"/>
    </xf>
    <xf numFmtId="0" fontId="25" fillId="7" borderId="29" applyNumberFormat="0" applyAlignment="0" applyProtection="0">
      <alignment vertical="center"/>
    </xf>
    <xf numFmtId="0" fontId="26" fillId="7" borderId="28" applyNumberFormat="0" applyAlignment="0" applyProtection="0">
      <alignment vertical="center"/>
    </xf>
    <xf numFmtId="0" fontId="27" fillId="10" borderId="30" applyNumberFormat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0" fillId="23" borderId="0" applyNumberFormat="0" applyFont="0" applyBorder="0" applyAlignment="0" applyProtection="0"/>
    <xf numFmtId="0" fontId="0" fillId="0" borderId="0">
      <alignment vertical="center"/>
    </xf>
    <xf numFmtId="0" fontId="0" fillId="23" borderId="0" applyNumberFormat="0" applyFont="0" applyBorder="0" applyAlignment="0" applyProtection="0"/>
    <xf numFmtId="0" fontId="0" fillId="0" borderId="0">
      <alignment vertical="center"/>
    </xf>
    <xf numFmtId="0" fontId="0" fillId="23" borderId="0" applyNumberFormat="0" applyFont="0" applyBorder="0" applyAlignment="0" applyProtection="0"/>
    <xf numFmtId="0" fontId="35" fillId="23" borderId="0" applyNumberFormat="0" applyBorder="0" applyAlignment="0" applyProtection="0"/>
    <xf numFmtId="0" fontId="0" fillId="12" borderId="0" applyNumberFormat="0" applyFont="0" applyBorder="0" applyAlignment="0" applyProtection="0"/>
    <xf numFmtId="0" fontId="0" fillId="0" borderId="0">
      <alignment vertical="center"/>
    </xf>
    <xf numFmtId="0" fontId="0" fillId="23" borderId="0" applyNumberFormat="0" applyFont="0" applyBorder="0" applyAlignment="0" applyProtection="0"/>
    <xf numFmtId="0" fontId="0" fillId="23" borderId="0" applyNumberFormat="0" applyFont="0" applyBorder="0" applyAlignment="0" applyProtection="0"/>
    <xf numFmtId="0" fontId="34" fillId="0" borderId="0">
      <alignment vertical="center"/>
    </xf>
    <xf numFmtId="0" fontId="36" fillId="12" borderId="0" applyNumberFormat="0" applyBorder="0" applyAlignment="0" applyProtection="0"/>
    <xf numFmtId="0" fontId="0" fillId="0" borderId="0"/>
    <xf numFmtId="43" fontId="0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0" fillId="3" borderId="0" xfId="0" applyFill="1" applyBorder="1" applyAlignment="1"/>
    <xf numFmtId="176" fontId="0" fillId="0" borderId="0" xfId="0" applyNumberFormat="1"/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1" fillId="0" borderId="0" xfId="0" applyFont="1" applyFill="1"/>
    <xf numFmtId="176" fontId="1" fillId="0" borderId="0" xfId="0" applyNumberFormat="1" applyFont="1" applyFill="1"/>
    <xf numFmtId="0" fontId="2" fillId="0" borderId="2" xfId="0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176" fontId="6" fillId="5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77" fontId="7" fillId="4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176" fontId="7" fillId="5" borderId="2" xfId="0" applyNumberFormat="1" applyFont="1" applyFill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177" fontId="7" fillId="5" borderId="2" xfId="0" applyNumberFormat="1" applyFont="1" applyFill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0" fillId="0" borderId="0" xfId="0" applyNumberFormat="1"/>
    <xf numFmtId="0" fontId="0" fillId="0" borderId="2" xfId="0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left" vertical="center" wrapText="1" indent="1"/>
    </xf>
    <xf numFmtId="49" fontId="9" fillId="0" borderId="2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left" vertical="center" wrapText="1"/>
    </xf>
    <xf numFmtId="177" fontId="10" fillId="0" borderId="7" xfId="0" applyNumberFormat="1" applyFont="1" applyBorder="1" applyAlignment="1">
      <alignment horizontal="center" vertical="center" wrapText="1"/>
    </xf>
    <xf numFmtId="4" fontId="11" fillId="3" borderId="2" xfId="0" applyNumberFormat="1" applyFont="1" applyFill="1" applyBorder="1" applyAlignment="1">
      <alignment horizontal="center" vertical="center" wrapText="1"/>
    </xf>
    <xf numFmtId="4" fontId="11" fillId="7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left" vertical="top" wrapText="1"/>
    </xf>
    <xf numFmtId="177" fontId="10" fillId="0" borderId="12" xfId="0" applyNumberFormat="1" applyFont="1" applyBorder="1" applyAlignment="1">
      <alignment horizontal="center" vertical="center" wrapText="1"/>
    </xf>
    <xf numFmtId="178" fontId="6" fillId="3" borderId="2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/>
    </xf>
    <xf numFmtId="177" fontId="10" fillId="3" borderId="2" xfId="0" applyNumberFormat="1" applyFont="1" applyFill="1" applyBorder="1" applyAlignment="1">
      <alignment horizontal="center" vertical="center"/>
    </xf>
    <xf numFmtId="177" fontId="10" fillId="0" borderId="13" xfId="0" applyNumberFormat="1" applyFont="1" applyBorder="1" applyAlignment="1">
      <alignment horizontal="center" vertical="center" wrapText="1"/>
    </xf>
    <xf numFmtId="49" fontId="12" fillId="0" borderId="2" xfId="0" applyNumberFormat="1" applyFont="1" applyFill="1" applyBorder="1" applyAlignment="1">
      <alignment horizontal="left" vertical="center" wrapText="1"/>
    </xf>
    <xf numFmtId="177" fontId="6" fillId="3" borderId="2" xfId="0" applyNumberFormat="1" applyFont="1" applyFill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4" fontId="11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176" fontId="0" fillId="0" borderId="2" xfId="0" applyNumberFormat="1" applyBorder="1"/>
    <xf numFmtId="49" fontId="9" fillId="4" borderId="2" xfId="0" applyNumberFormat="1" applyFont="1" applyFill="1" applyBorder="1" applyAlignment="1">
      <alignment horizontal="left" vertical="center" wrapText="1"/>
    </xf>
    <xf numFmtId="49" fontId="12" fillId="4" borderId="2" xfId="0" applyNumberFormat="1" applyFont="1" applyFill="1" applyBorder="1" applyAlignment="1">
      <alignment horizontal="left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49" fontId="14" fillId="0" borderId="2" xfId="0" applyNumberFormat="1" applyFont="1" applyFill="1" applyBorder="1" applyAlignment="1">
      <alignment horizontal="center" vertical="center" wrapText="1"/>
    </xf>
    <xf numFmtId="177" fontId="10" fillId="5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top" wrapText="1"/>
    </xf>
    <xf numFmtId="49" fontId="15" fillId="0" borderId="2" xfId="0" applyNumberFormat="1" applyFont="1" applyFill="1" applyBorder="1" applyAlignment="1">
      <alignment horizontal="center" vertical="center" wrapText="1"/>
    </xf>
    <xf numFmtId="177" fontId="10" fillId="0" borderId="7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77" fontId="10" fillId="0" borderId="13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49" fontId="9" fillId="0" borderId="2" xfId="0" applyNumberFormat="1" applyFont="1" applyFill="1" applyBorder="1" applyAlignment="1">
      <alignment horizontal="right" vertical="center" wrapText="1"/>
    </xf>
    <xf numFmtId="0" fontId="0" fillId="0" borderId="12" xfId="0" applyBorder="1" applyAlignment="1">
      <alignment horizontal="center"/>
    </xf>
    <xf numFmtId="49" fontId="9" fillId="0" borderId="2" xfId="0" applyNumberFormat="1" applyFont="1" applyFill="1" applyBorder="1" applyAlignment="1">
      <alignment horizontal="right" vertical="center" wrapText="1" indent="1"/>
    </xf>
    <xf numFmtId="177" fontId="10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0" fillId="3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3" borderId="17" xfId="0" applyFill="1" applyBorder="1" applyAlignment="1">
      <alignment vertical="center"/>
    </xf>
    <xf numFmtId="176" fontId="0" fillId="3" borderId="18" xfId="0" applyNumberFormat="1" applyFill="1" applyBorder="1" applyAlignment="1"/>
    <xf numFmtId="0" fontId="0" fillId="3" borderId="15" xfId="0" applyFill="1" applyBorder="1" applyAlignment="1"/>
    <xf numFmtId="0" fontId="0" fillId="3" borderId="2" xfId="0" applyFill="1" applyBorder="1" applyAlignment="1"/>
    <xf numFmtId="0" fontId="0" fillId="3" borderId="14" xfId="0" applyFill="1" applyBorder="1" applyAlignment="1"/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0" fillId="3" borderId="2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1" xfId="0" applyFill="1" applyBorder="1" applyAlignment="1"/>
    <xf numFmtId="176" fontId="0" fillId="3" borderId="19" xfId="0" applyNumberFormat="1" applyFill="1" applyBorder="1" applyAlignment="1"/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@ET_Style?CF_Style_4" xfId="49"/>
    <cellStyle name="常规_2010109134835250_3. 2015年报表归属" xfId="50"/>
    <cellStyle name="@ET_Style?CF_Style_7" xfId="51"/>
    <cellStyle name="常规 4_3. 2015年报表归属" xfId="52"/>
    <cellStyle name="@ET_Style?CF_Style_6" xfId="53"/>
    <cellStyle name="@ET_Style?CF_Style_2" xfId="54"/>
    <cellStyle name="@ET_Style?CF_Style_3" xfId="55"/>
    <cellStyle name="常规_2010109134837312" xfId="56"/>
    <cellStyle name="@ET_Style?CF_Style_8" xfId="57"/>
    <cellStyle name="@ET_Style?CF_Style_5" xfId="58"/>
    <cellStyle name="常规 2_3. 2015年报表归属" xfId="59"/>
    <cellStyle name="@ET_Style?CF_Style_1" xfId="60"/>
    <cellStyle name="常规_区域单家报表归属" xfId="61"/>
    <cellStyle name="千位分隔 2" xfId="62"/>
  </cellStyles>
  <dxfs count="2">
    <dxf>
      <font>
        <b val="1"/>
        <i val="0"/>
      </font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BFBFBF"/>
      <color rgb="009BC2E6"/>
      <color rgb="00BDD7EE"/>
      <color rgb="005B9BD5"/>
      <color rgb="00FFE699"/>
      <color rgb="0000000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5"/>
  <sheetViews>
    <sheetView tabSelected="1" zoomScale="85" zoomScaleNormal="85" workbookViewId="0">
      <pane xSplit="2" topLeftCell="C1" activePane="topRight" state="frozen"/>
      <selection/>
      <selection pane="topRight" activeCell="E8" sqref="E8"/>
    </sheetView>
  </sheetViews>
  <sheetFormatPr defaultColWidth="9" defaultRowHeight="17.6"/>
  <cols>
    <col min="1" max="1" width="4.69642857142857" customWidth="1"/>
    <col min="2" max="2" width="21.7589285714286" customWidth="1"/>
    <col min="3" max="3" width="13.375" customWidth="1"/>
    <col min="4" max="4" width="31.6160714285714" customWidth="1"/>
    <col min="5" max="5" width="25.8839285714286" customWidth="1"/>
    <col min="6" max="6" width="9.5" customWidth="1"/>
    <col min="7" max="7" width="30.7321428571429" customWidth="1"/>
    <col min="8" max="8" width="18.9017857142857" customWidth="1"/>
    <col min="9" max="9" width="11.1607142857143" customWidth="1"/>
    <col min="10" max="10" width="35.1517857142857" customWidth="1"/>
    <col min="11" max="11" width="16.5" customWidth="1"/>
    <col min="12" max="12" width="18.9017857142857" style="19" customWidth="1"/>
    <col min="13" max="13" width="23.2321428571429" customWidth="1"/>
    <col min="14" max="14" width="21.6160714285714" customWidth="1"/>
    <col min="15" max="15" width="17.2946428571429" customWidth="1"/>
    <col min="16" max="16" width="34.1160714285714" customWidth="1"/>
    <col min="17" max="17" width="9.09821428571429" customWidth="1"/>
    <col min="18" max="18" width="15.1428571428571" customWidth="1"/>
    <col min="19" max="253" width="9.09821428571429" customWidth="1"/>
    <col min="254" max="254" width="9.09821428571429"/>
  </cols>
  <sheetData>
    <row r="1" ht="18" customHeight="1" spans="1:18">
      <c r="A1" s="20" t="s">
        <v>0</v>
      </c>
      <c r="H1" t="s">
        <v>1</v>
      </c>
      <c r="I1" t="s">
        <v>1</v>
      </c>
    </row>
    <row r="2" ht="27" customHeight="1" spans="1:18">
      <c r="A2" s="21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="1" customFormat="1" ht="24" customHeight="1" spans="1:18">
      <c r="A3" s="22" t="s">
        <v>3</v>
      </c>
      <c r="B3" s="22"/>
      <c r="C3" s="22"/>
      <c r="D3" s="23"/>
      <c r="E3" s="23"/>
      <c r="F3" s="24" t="s">
        <v>4</v>
      </c>
      <c r="G3" s="24"/>
      <c r="H3" s="24"/>
      <c r="I3" s="24"/>
      <c r="J3" s="24"/>
      <c r="K3" s="24"/>
      <c r="L3" s="25"/>
      <c r="M3" s="23"/>
      <c r="N3" s="23"/>
      <c r="O3" s="23"/>
      <c r="P3" s="23"/>
    </row>
    <row r="4" s="1" customFormat="1" ht="37" customHeight="1" spans="1:18">
      <c r="A4" s="6" t="s">
        <v>5</v>
      </c>
      <c r="B4" s="6" t="s">
        <v>6</v>
      </c>
      <c r="C4" s="3" t="s">
        <v>7</v>
      </c>
      <c r="D4" s="3"/>
      <c r="E4" s="3"/>
      <c r="F4" s="26" t="s">
        <v>8</v>
      </c>
      <c r="G4" s="26"/>
      <c r="H4" s="26"/>
      <c r="I4" s="26"/>
      <c r="J4" s="26"/>
      <c r="K4" s="26"/>
      <c r="L4" s="26"/>
      <c r="M4" s="3" t="s">
        <v>9</v>
      </c>
      <c r="N4" s="3"/>
      <c r="O4" s="3"/>
      <c r="P4" s="3" t="s">
        <v>10</v>
      </c>
    </row>
    <row r="5" ht="44" customHeight="1" spans="1:18">
      <c r="A5" s="6"/>
      <c r="B5" s="6"/>
      <c r="C5" s="6" t="s">
        <v>11</v>
      </c>
      <c r="D5" s="6"/>
      <c r="E5" s="6" t="s">
        <v>12</v>
      </c>
      <c r="F5" s="6" t="s">
        <v>13</v>
      </c>
      <c r="G5" s="6"/>
      <c r="H5" s="6"/>
      <c r="I5" s="6" t="s">
        <v>14</v>
      </c>
      <c r="J5" s="6"/>
      <c r="K5" s="6"/>
      <c r="L5" s="27" t="s">
        <v>15</v>
      </c>
      <c r="M5" s="6" t="s">
        <v>13</v>
      </c>
      <c r="N5" s="6" t="s">
        <v>14</v>
      </c>
      <c r="O5" s="6" t="s">
        <v>15</v>
      </c>
      <c r="P5" s="3"/>
    </row>
    <row r="6" ht="37" customHeight="1" spans="1:18">
      <c r="A6" s="6"/>
      <c r="B6" s="6"/>
      <c r="C6" s="6"/>
      <c r="D6" s="6"/>
      <c r="E6" s="6" t="s">
        <v>13</v>
      </c>
      <c r="F6" s="6" t="s">
        <v>16</v>
      </c>
      <c r="G6" s="6" t="s">
        <v>17</v>
      </c>
      <c r="H6" s="6" t="s">
        <v>18</v>
      </c>
      <c r="I6" s="6" t="s">
        <v>16</v>
      </c>
      <c r="J6" s="6" t="s">
        <v>17</v>
      </c>
      <c r="K6" s="6" t="s">
        <v>18</v>
      </c>
      <c r="L6" s="27"/>
      <c r="M6" s="6"/>
      <c r="N6" s="6"/>
      <c r="O6" s="6"/>
      <c r="P6" s="3"/>
    </row>
    <row r="7" ht="28" customHeight="1" spans="1:18">
      <c r="A7" s="28">
        <v>1</v>
      </c>
      <c r="B7" s="28" t="s">
        <v>19</v>
      </c>
      <c r="C7" s="29"/>
      <c r="D7" s="17" t="s">
        <v>20</v>
      </c>
      <c r="E7" s="30">
        <f>E14-SUM(E20:E28)+E29</f>
        <v>0</v>
      </c>
      <c r="F7" s="31"/>
      <c r="G7" s="17" t="s">
        <v>20</v>
      </c>
      <c r="H7" s="32">
        <f>SUM(H14:H18)</f>
        <v>0</v>
      </c>
      <c r="I7" s="31"/>
      <c r="J7" s="33" t="s">
        <v>21</v>
      </c>
      <c r="K7" s="32">
        <f>SUM(K14:K17)</f>
        <v>0</v>
      </c>
      <c r="L7" s="34">
        <f t="shared" ref="L7:L13" si="0">H7+K7</f>
        <v>0</v>
      </c>
      <c r="M7" s="35"/>
      <c r="N7" s="35"/>
      <c r="O7" s="34">
        <f>M7+N7</f>
        <v>0</v>
      </c>
      <c r="P7" s="36"/>
    </row>
    <row r="8" ht="28" customHeight="1" spans="1:18">
      <c r="A8" s="28"/>
      <c r="B8" s="28"/>
      <c r="C8" s="29"/>
      <c r="D8" s="17" t="s">
        <v>22</v>
      </c>
      <c r="E8" s="30">
        <f>E30-SUM(E36:E43)+E44-E47+SUM(E48:E53)</f>
        <v>0</v>
      </c>
      <c r="F8" s="31"/>
      <c r="G8" s="17" t="s">
        <v>22</v>
      </c>
      <c r="H8" s="32">
        <f>SUM(H30:H35)+H44</f>
        <v>0</v>
      </c>
      <c r="I8" s="31"/>
      <c r="J8" s="33" t="s">
        <v>23</v>
      </c>
      <c r="K8" s="32">
        <f>SUM(K30:K35)</f>
        <v>0</v>
      </c>
      <c r="L8" s="34">
        <f t="shared" si="0"/>
        <v>0</v>
      </c>
      <c r="M8" s="35"/>
      <c r="N8" s="35"/>
      <c r="O8" s="34">
        <f t="shared" ref="O8:O13" si="1">M8+N8</f>
        <v>0</v>
      </c>
      <c r="P8" s="36"/>
    </row>
    <row r="9" ht="28" customHeight="1" spans="1:18">
      <c r="A9" s="28"/>
      <c r="B9" s="28"/>
      <c r="C9" s="29"/>
      <c r="D9" s="9" t="s">
        <v>24</v>
      </c>
      <c r="E9" s="30">
        <f>SUM(E54:E62)</f>
        <v>0</v>
      </c>
      <c r="F9" s="31"/>
      <c r="G9" s="17" t="s">
        <v>25</v>
      </c>
      <c r="H9" s="37">
        <f>SUM(H74:H78)</f>
        <v>0</v>
      </c>
      <c r="I9" s="31"/>
      <c r="J9" s="33" t="s">
        <v>26</v>
      </c>
      <c r="K9" s="37">
        <f>SUM(K74:K78)</f>
        <v>0</v>
      </c>
      <c r="L9" s="34">
        <f t="shared" si="0"/>
        <v>0</v>
      </c>
      <c r="M9" s="38"/>
      <c r="N9" s="38"/>
      <c r="O9" s="34">
        <f t="shared" si="1"/>
        <v>0</v>
      </c>
      <c r="P9" s="36"/>
    </row>
    <row r="10" ht="28" customHeight="1" spans="1:18">
      <c r="A10" s="28"/>
      <c r="B10" s="28"/>
      <c r="C10" s="29"/>
      <c r="D10" s="9" t="s">
        <v>27</v>
      </c>
      <c r="E10" s="30">
        <f>SUM(E63:E71)</f>
        <v>0</v>
      </c>
      <c r="F10" s="31"/>
      <c r="G10" s="17" t="s">
        <v>28</v>
      </c>
      <c r="H10" s="37">
        <f>H81+H85</f>
        <v>0</v>
      </c>
      <c r="I10" s="31"/>
      <c r="J10" s="17" t="s">
        <v>29</v>
      </c>
      <c r="K10" s="37">
        <f>K81+K85</f>
        <v>0</v>
      </c>
      <c r="L10" s="34">
        <f t="shared" si="0"/>
        <v>0</v>
      </c>
      <c r="M10" s="38"/>
      <c r="N10" s="38"/>
      <c r="O10" s="34">
        <f t="shared" si="1"/>
        <v>0</v>
      </c>
      <c r="P10" s="36"/>
      <c r="R10" s="39"/>
    </row>
    <row r="11" ht="58" customHeight="1" spans="1:18">
      <c r="A11" s="28"/>
      <c r="B11" s="28"/>
      <c r="C11" s="29"/>
      <c r="D11" s="17" t="s">
        <v>25</v>
      </c>
      <c r="E11" s="30">
        <f>E74+E75+E76</f>
        <v>0</v>
      </c>
      <c r="F11" s="31"/>
      <c r="G11" s="17" t="s">
        <v>30</v>
      </c>
      <c r="H11" s="37">
        <f>H124</f>
        <v>0</v>
      </c>
      <c r="I11" s="31"/>
      <c r="J11" s="17" t="s">
        <v>31</v>
      </c>
      <c r="K11" s="37">
        <f>K124</f>
        <v>0</v>
      </c>
      <c r="L11" s="34">
        <f t="shared" si="0"/>
        <v>0</v>
      </c>
      <c r="M11" s="38"/>
      <c r="N11" s="38"/>
      <c r="O11" s="34">
        <f t="shared" si="1"/>
        <v>0</v>
      </c>
      <c r="P11" s="40"/>
    </row>
    <row r="12" ht="28" customHeight="1" spans="1:18">
      <c r="A12" s="28"/>
      <c r="B12" s="28"/>
      <c r="C12" s="29"/>
      <c r="D12" s="17" t="s">
        <v>28</v>
      </c>
      <c r="E12" s="30">
        <f>SUM(E79:E97)</f>
        <v>0</v>
      </c>
      <c r="F12" s="31"/>
      <c r="G12" s="17" t="s">
        <v>32</v>
      </c>
      <c r="H12" s="37">
        <f>H125</f>
        <v>0</v>
      </c>
      <c r="I12" s="31"/>
      <c r="J12" s="17" t="s">
        <v>33</v>
      </c>
      <c r="K12" s="37">
        <f>K125</f>
        <v>0</v>
      </c>
      <c r="L12" s="34">
        <f t="shared" si="0"/>
        <v>0</v>
      </c>
      <c r="M12" s="38"/>
      <c r="N12" s="38"/>
      <c r="O12" s="34">
        <f t="shared" si="1"/>
        <v>0</v>
      </c>
      <c r="P12" s="9"/>
    </row>
    <row r="13" ht="28" customHeight="1" spans="1:18">
      <c r="A13" s="28"/>
      <c r="B13" s="28"/>
      <c r="C13" s="29"/>
      <c r="D13" s="31" t="s">
        <v>34</v>
      </c>
      <c r="E13" s="30">
        <f>E7+E8+E11+E12</f>
        <v>0</v>
      </c>
      <c r="F13" s="31"/>
      <c r="G13" s="17" t="s">
        <v>35</v>
      </c>
      <c r="H13" s="37">
        <f>H7+H8+H9-H11-H12</f>
        <v>0</v>
      </c>
      <c r="I13" s="31"/>
      <c r="J13" s="17" t="s">
        <v>36</v>
      </c>
      <c r="K13" s="37">
        <f>K7+K8+K9-K11-K12</f>
        <v>0</v>
      </c>
      <c r="L13" s="34">
        <f t="shared" si="0"/>
        <v>0</v>
      </c>
      <c r="M13" s="34">
        <f>M7+M8+M9-M11-M12</f>
        <v>0</v>
      </c>
      <c r="N13" s="34">
        <f>N7+N8+N9-N11-N12</f>
        <v>0</v>
      </c>
      <c r="O13" s="34">
        <f t="shared" si="1"/>
        <v>0</v>
      </c>
      <c r="P13" s="9"/>
    </row>
    <row r="14" ht="20" customHeight="1" spans="1:18">
      <c r="A14" s="41">
        <v>2</v>
      </c>
      <c r="B14" s="42" t="s">
        <v>37</v>
      </c>
      <c r="C14" s="43" t="s">
        <v>38</v>
      </c>
      <c r="D14" s="44" t="s">
        <v>39</v>
      </c>
      <c r="E14" s="45"/>
      <c r="F14" s="44" t="s">
        <v>40</v>
      </c>
      <c r="G14" s="44" t="s">
        <v>41</v>
      </c>
      <c r="H14" s="46"/>
      <c r="I14" s="44" t="s">
        <v>42</v>
      </c>
      <c r="J14" s="44" t="s">
        <v>43</v>
      </c>
      <c r="K14" s="47"/>
      <c r="L14" s="48"/>
      <c r="M14" s="49"/>
      <c r="N14" s="49"/>
      <c r="O14" s="49"/>
      <c r="P14" s="50"/>
    </row>
    <row r="15" ht="20" customHeight="1" spans="1:18">
      <c r="A15" s="51"/>
      <c r="B15" s="51"/>
      <c r="C15" s="43"/>
      <c r="D15" s="44"/>
      <c r="E15" s="52"/>
      <c r="F15" s="44" t="s">
        <v>44</v>
      </c>
      <c r="G15" s="44" t="s">
        <v>45</v>
      </c>
      <c r="H15" s="53"/>
      <c r="I15" s="44" t="s">
        <v>46</v>
      </c>
      <c r="J15" s="44" t="s">
        <v>47</v>
      </c>
      <c r="K15" s="47"/>
      <c r="L15" s="48"/>
      <c r="M15" s="49"/>
      <c r="N15" s="49"/>
      <c r="O15" s="49"/>
      <c r="P15" s="50"/>
    </row>
    <row r="16" ht="35" customHeight="1" spans="1:18">
      <c r="A16" s="51"/>
      <c r="B16" s="51"/>
      <c r="C16" s="43"/>
      <c r="D16" s="44"/>
      <c r="E16" s="52"/>
      <c r="F16" s="44" t="s">
        <v>48</v>
      </c>
      <c r="G16" s="44" t="s">
        <v>49</v>
      </c>
      <c r="H16" s="46"/>
      <c r="I16" s="44" t="s">
        <v>50</v>
      </c>
      <c r="J16" s="44" t="s">
        <v>51</v>
      </c>
      <c r="K16" s="54"/>
      <c r="L16" s="48"/>
      <c r="M16" s="49"/>
      <c r="N16" s="49"/>
      <c r="O16" s="49"/>
      <c r="P16" s="50"/>
    </row>
    <row r="17" ht="35" customHeight="1" spans="1:16">
      <c r="A17" s="51"/>
      <c r="B17" s="51"/>
      <c r="C17" s="43"/>
      <c r="D17" s="44"/>
      <c r="E17" s="52"/>
      <c r="F17" s="44" t="s">
        <v>52</v>
      </c>
      <c r="G17" s="44" t="s">
        <v>53</v>
      </c>
      <c r="H17" s="55"/>
      <c r="I17" s="44" t="s">
        <v>54</v>
      </c>
      <c r="J17" s="44" t="s">
        <v>55</v>
      </c>
      <c r="K17" s="54"/>
      <c r="L17" s="48"/>
      <c r="M17" s="49"/>
      <c r="N17" s="49"/>
      <c r="O17" s="49"/>
      <c r="P17" s="50"/>
    </row>
    <row r="18" ht="20" customHeight="1" spans="1:16">
      <c r="A18" s="51"/>
      <c r="B18" s="51"/>
      <c r="C18" s="43"/>
      <c r="D18" s="44"/>
      <c r="E18" s="52"/>
      <c r="F18" s="44" t="inlineStr">
        <is>
          <t>20140102</t>
        </is>
      </c>
      <c r="G18" s="44" t="s">
        <v>57</v>
      </c>
      <c r="H18" s="46"/>
      <c r="I18" s="44" t="s">
        <v>58</v>
      </c>
      <c r="J18" s="44" t="s">
        <v>59</v>
      </c>
      <c r="K18" s="38"/>
      <c r="L18" s="48"/>
      <c r="M18" s="49"/>
      <c r="N18" s="49"/>
      <c r="O18" s="49"/>
      <c r="P18" s="50"/>
    </row>
    <row r="19" ht="18" customHeight="1" spans="1:16">
      <c r="A19" s="51"/>
      <c r="B19" s="51"/>
      <c r="C19" s="43"/>
      <c r="D19" s="44"/>
      <c r="E19" s="56"/>
      <c r="F19" s="44"/>
      <c r="G19" s="57"/>
      <c r="H19" s="58"/>
      <c r="I19" s="44"/>
      <c r="J19" s="44"/>
      <c r="K19" s="47"/>
      <c r="L19" s="48"/>
      <c r="M19" s="49"/>
      <c r="N19" s="49"/>
      <c r="O19" s="49"/>
      <c r="P19" s="50"/>
    </row>
    <row r="20" ht="20" customHeight="1" spans="1:16">
      <c r="A20" s="51"/>
      <c r="B20" s="51"/>
      <c r="C20" s="43" t="s">
        <v>60</v>
      </c>
      <c r="D20" s="44" t="s">
        <v>61</v>
      </c>
      <c r="E20" s="59"/>
      <c r="F20" s="44"/>
      <c r="G20" s="44"/>
      <c r="H20" s="38"/>
      <c r="I20" s="44"/>
      <c r="J20" s="44"/>
      <c r="K20" s="38"/>
      <c r="L20" s="48"/>
      <c r="M20" s="49"/>
      <c r="N20" s="49"/>
      <c r="O20" s="49"/>
      <c r="P20" s="60"/>
    </row>
    <row r="21" ht="20" customHeight="1" spans="1:16">
      <c r="A21" s="51"/>
      <c r="B21" s="51"/>
      <c r="C21" s="43" t="s">
        <v>62</v>
      </c>
      <c r="D21" s="44" t="s">
        <v>61</v>
      </c>
      <c r="E21" s="59"/>
      <c r="F21" s="44"/>
      <c r="G21" s="44"/>
      <c r="H21" s="38"/>
      <c r="I21" s="44"/>
      <c r="J21" s="44"/>
      <c r="K21" s="38"/>
      <c r="L21" s="48"/>
      <c r="M21" s="49"/>
      <c r="N21" s="49"/>
      <c r="O21" s="49"/>
      <c r="P21" s="60"/>
    </row>
    <row r="22" ht="20" customHeight="1" spans="1:16">
      <c r="A22" s="51"/>
      <c r="B22" s="51"/>
      <c r="C22" s="43" t="s">
        <v>63</v>
      </c>
      <c r="D22" s="44" t="s">
        <v>61</v>
      </c>
      <c r="E22" s="59"/>
      <c r="F22" s="44"/>
      <c r="G22" s="44"/>
      <c r="H22" s="38"/>
      <c r="I22" s="44"/>
      <c r="J22" s="44"/>
      <c r="K22" s="38"/>
      <c r="L22" s="48"/>
      <c r="M22" s="49"/>
      <c r="N22" s="49"/>
      <c r="O22" s="49"/>
      <c r="P22" s="60"/>
    </row>
    <row r="23" ht="20" customHeight="1" spans="1:16">
      <c r="A23" s="51"/>
      <c r="B23" s="51"/>
      <c r="C23" s="43" t="s">
        <v>64</v>
      </c>
      <c r="D23" s="44" t="s">
        <v>61</v>
      </c>
      <c r="E23" s="59"/>
      <c r="F23" s="44"/>
      <c r="G23" s="44"/>
      <c r="H23" s="38"/>
      <c r="I23" s="44"/>
      <c r="J23" s="44"/>
      <c r="K23" s="38"/>
      <c r="L23" s="48"/>
      <c r="M23" s="49"/>
      <c r="N23" s="49"/>
      <c r="O23" s="49"/>
      <c r="P23" s="60"/>
    </row>
    <row r="24" ht="20" customHeight="1" spans="1:16">
      <c r="A24" s="51"/>
      <c r="B24" s="51"/>
      <c r="C24" s="43" t="s">
        <v>65</v>
      </c>
      <c r="D24" s="44" t="s">
        <v>61</v>
      </c>
      <c r="E24" s="59"/>
      <c r="F24" s="44"/>
      <c r="G24" s="44"/>
      <c r="H24" s="38"/>
      <c r="I24" s="44"/>
      <c r="J24" s="44"/>
      <c r="K24" s="38"/>
      <c r="L24" s="48"/>
      <c r="M24" s="49"/>
      <c r="N24" s="49"/>
      <c r="O24" s="49"/>
      <c r="P24" s="60"/>
    </row>
    <row r="25" ht="20" customHeight="1" spans="1:16">
      <c r="A25" s="51"/>
      <c r="B25" s="51"/>
      <c r="C25" s="43" t="s">
        <v>66</v>
      </c>
      <c r="D25" s="44" t="s">
        <v>61</v>
      </c>
      <c r="E25" s="59"/>
      <c r="F25" s="44"/>
      <c r="G25" s="44"/>
      <c r="H25" s="61"/>
      <c r="I25" s="44"/>
      <c r="J25" s="44"/>
      <c r="K25" s="47"/>
      <c r="L25" s="47"/>
      <c r="M25" s="49"/>
      <c r="N25" s="49"/>
      <c r="O25" s="49"/>
      <c r="P25" s="60"/>
    </row>
    <row r="26" ht="20" customHeight="1" spans="1:16">
      <c r="A26" s="51"/>
      <c r="B26" s="51"/>
      <c r="C26" s="43" t="s">
        <v>67</v>
      </c>
      <c r="D26" s="44" t="s">
        <v>61</v>
      </c>
      <c r="E26" s="59"/>
      <c r="F26" s="44"/>
      <c r="G26" s="44"/>
      <c r="H26" s="61"/>
      <c r="I26" s="44"/>
      <c r="J26" s="44"/>
      <c r="K26" s="47"/>
      <c r="L26" s="48"/>
      <c r="M26" s="49"/>
      <c r="N26" s="49"/>
      <c r="O26" s="49"/>
      <c r="P26" s="60"/>
    </row>
    <row r="27" ht="35" customHeight="1" spans="1:16">
      <c r="A27" s="51"/>
      <c r="B27" s="51"/>
      <c r="C27" s="43" t="s">
        <v>68</v>
      </c>
      <c r="D27" s="44" t="s">
        <v>61</v>
      </c>
      <c r="E27" s="59"/>
      <c r="F27" s="44"/>
      <c r="G27" s="44"/>
      <c r="H27" s="62"/>
      <c r="I27" s="44"/>
      <c r="J27" s="44"/>
      <c r="K27" s="49"/>
      <c r="L27" s="48"/>
      <c r="M27" s="49"/>
      <c r="N27" s="49"/>
      <c r="O27" s="49"/>
      <c r="P27" s="60"/>
    </row>
    <row r="28" ht="35" customHeight="1" spans="1:16">
      <c r="A28" s="51"/>
      <c r="B28" s="51"/>
      <c r="C28" s="43" t="s">
        <v>69</v>
      </c>
      <c r="D28" s="44" t="s">
        <v>61</v>
      </c>
      <c r="E28" s="59"/>
      <c r="F28" s="44"/>
      <c r="G28" s="44"/>
      <c r="H28" s="62"/>
      <c r="I28" s="44"/>
      <c r="J28" s="44"/>
      <c r="K28" s="49"/>
      <c r="L28" s="48"/>
      <c r="M28" s="49"/>
      <c r="N28" s="49"/>
      <c r="O28" s="49"/>
      <c r="P28" s="60"/>
    </row>
    <row r="29" ht="35" customHeight="1" spans="1:16">
      <c r="A29" s="51"/>
      <c r="B29" s="51"/>
      <c r="C29" s="63" t="s">
        <v>70</v>
      </c>
      <c r="D29" s="63" t="s">
        <v>71</v>
      </c>
      <c r="E29" s="59"/>
      <c r="F29" s="44"/>
      <c r="G29" s="44"/>
      <c r="H29" s="61"/>
      <c r="I29" s="44"/>
      <c r="J29" s="44"/>
      <c r="K29" s="38"/>
      <c r="L29" s="48"/>
      <c r="M29" s="49"/>
      <c r="N29" s="49"/>
      <c r="O29" s="49"/>
      <c r="P29" s="60"/>
    </row>
    <row r="30" ht="20" customHeight="1" spans="1:16">
      <c r="A30" s="41">
        <v>3</v>
      </c>
      <c r="B30" s="43" t="s">
        <v>72</v>
      </c>
      <c r="C30" s="43" t="s">
        <v>73</v>
      </c>
      <c r="D30" s="44" t="s">
        <v>74</v>
      </c>
      <c r="E30" s="45"/>
      <c r="F30" s="44" t="s">
        <v>75</v>
      </c>
      <c r="G30" s="44" t="s">
        <v>76</v>
      </c>
      <c r="H30" s="55"/>
      <c r="I30" s="44" t="s">
        <v>77</v>
      </c>
      <c r="J30" s="44" t="s">
        <v>78</v>
      </c>
      <c r="K30" s="38"/>
      <c r="L30" s="48"/>
      <c r="M30" s="49"/>
      <c r="N30" s="49"/>
      <c r="O30" s="49"/>
      <c r="P30" s="60"/>
    </row>
    <row r="31" ht="20" customHeight="1" spans="1:16">
      <c r="A31" s="41"/>
      <c r="B31" s="43"/>
      <c r="C31" s="43"/>
      <c r="D31" s="44"/>
      <c r="E31" s="52"/>
      <c r="F31" s="44" t="s">
        <v>79</v>
      </c>
      <c r="G31" s="44" t="s">
        <v>80</v>
      </c>
      <c r="H31" s="46"/>
      <c r="I31" s="44" t="s">
        <v>81</v>
      </c>
      <c r="J31" s="44" t="s">
        <v>82</v>
      </c>
      <c r="K31" s="38"/>
      <c r="L31" s="48"/>
      <c r="M31" s="49"/>
      <c r="N31" s="49"/>
      <c r="O31" s="49"/>
      <c r="P31" s="60"/>
    </row>
    <row r="32" ht="20" customHeight="1" spans="1:16">
      <c r="A32" s="41"/>
      <c r="B32" s="43"/>
      <c r="C32" s="43"/>
      <c r="D32" s="44"/>
      <c r="E32" s="52"/>
      <c r="F32" s="44" t="s">
        <v>83</v>
      </c>
      <c r="G32" s="44" t="s">
        <v>84</v>
      </c>
      <c r="H32" s="64"/>
      <c r="I32" s="44" t="s">
        <v>85</v>
      </c>
      <c r="J32" s="44" t="s">
        <v>86</v>
      </c>
      <c r="K32" s="38"/>
      <c r="L32" s="48"/>
      <c r="M32" s="49"/>
      <c r="N32" s="49"/>
      <c r="O32" s="49"/>
      <c r="P32" s="60"/>
    </row>
    <row r="33" ht="20" customHeight="1" spans="1:16">
      <c r="A33" s="41"/>
      <c r="B33" s="43"/>
      <c r="C33" s="43"/>
      <c r="D33" s="44"/>
      <c r="E33" s="52"/>
      <c r="F33" s="44" t="s">
        <v>87</v>
      </c>
      <c r="G33" s="44" t="s">
        <v>88</v>
      </c>
      <c r="H33" s="65"/>
      <c r="I33" s="44" t="s">
        <v>89</v>
      </c>
      <c r="J33" s="44" t="s">
        <v>90</v>
      </c>
      <c r="K33" s="49"/>
      <c r="L33" s="48"/>
      <c r="M33" s="49"/>
      <c r="N33" s="49"/>
      <c r="O33" s="49"/>
      <c r="P33" s="60"/>
    </row>
    <row r="34" ht="20" customHeight="1" spans="1:16">
      <c r="A34" s="41"/>
      <c r="B34" s="43"/>
      <c r="C34" s="43"/>
      <c r="D34" s="44"/>
      <c r="E34" s="52"/>
      <c r="F34" s="44" t="s">
        <v>91</v>
      </c>
      <c r="G34" s="44" t="s">
        <v>92</v>
      </c>
      <c r="H34" s="65"/>
      <c r="I34" s="44" t="s">
        <v>93</v>
      </c>
      <c r="J34" s="44" t="s">
        <v>94</v>
      </c>
      <c r="K34" s="48"/>
      <c r="L34" s="48"/>
      <c r="M34" s="49"/>
      <c r="N34" s="49"/>
      <c r="O34" s="49"/>
      <c r="P34" s="60"/>
    </row>
    <row r="35" ht="20" customHeight="1" spans="1:16">
      <c r="A35" s="41"/>
      <c r="B35" s="43"/>
      <c r="C35" s="43"/>
      <c r="D35" s="44"/>
      <c r="E35" s="56"/>
      <c r="F35" s="44" t="inlineStr">
        <is>
          <t>20140101</t>
        </is>
      </c>
      <c r="G35" s="57" t="s">
        <v>95</v>
      </c>
      <c r="H35" s="65"/>
      <c r="I35" s="44" t="s">
        <v>58</v>
      </c>
      <c r="J35" s="44" t="s">
        <v>96</v>
      </c>
      <c r="K35" s="49"/>
      <c r="L35" s="48"/>
      <c r="M35" s="49"/>
      <c r="N35" s="49"/>
      <c r="O35" s="49"/>
      <c r="P35" s="60"/>
    </row>
    <row r="36" ht="20" customHeight="1" spans="1:16">
      <c r="A36" s="41"/>
      <c r="B36" s="43"/>
      <c r="C36" s="43" t="s">
        <v>97</v>
      </c>
      <c r="D36" s="44" t="s">
        <v>98</v>
      </c>
      <c r="E36" s="59"/>
      <c r="F36" s="44"/>
      <c r="G36" s="44"/>
      <c r="H36" s="49"/>
      <c r="I36" s="44"/>
      <c r="J36" s="44"/>
      <c r="K36" s="49"/>
      <c r="L36" s="48"/>
      <c r="M36" s="49"/>
      <c r="N36" s="49"/>
      <c r="O36" s="49"/>
      <c r="P36" s="60"/>
    </row>
    <row r="37" ht="20" customHeight="1" spans="1:16">
      <c r="A37" s="41"/>
      <c r="B37" s="43"/>
      <c r="C37" s="43" t="s">
        <v>99</v>
      </c>
      <c r="D37" s="44" t="s">
        <v>100</v>
      </c>
      <c r="E37" s="59"/>
      <c r="F37" s="44"/>
      <c r="G37" s="44"/>
      <c r="H37" s="49"/>
      <c r="I37" s="44"/>
      <c r="J37" s="44"/>
      <c r="K37" s="49"/>
      <c r="L37" s="48"/>
      <c r="M37" s="49"/>
      <c r="N37" s="49"/>
      <c r="O37" s="49"/>
      <c r="P37" s="60"/>
    </row>
    <row r="38" ht="20" customHeight="1" spans="1:16">
      <c r="A38" s="41"/>
      <c r="B38" s="43"/>
      <c r="C38" s="43" t="s">
        <v>101</v>
      </c>
      <c r="D38" s="44" t="s">
        <v>102</v>
      </c>
      <c r="E38" s="59"/>
      <c r="F38" s="44"/>
      <c r="G38" s="44"/>
      <c r="H38" s="49"/>
      <c r="I38" s="44"/>
      <c r="J38" s="44"/>
      <c r="K38" s="49"/>
      <c r="L38" s="48"/>
      <c r="M38" s="49"/>
      <c r="N38" s="49"/>
      <c r="O38" s="49"/>
      <c r="P38" s="60"/>
    </row>
    <row r="39" ht="20" customHeight="1" spans="1:16">
      <c r="A39" s="41"/>
      <c r="B39" s="43"/>
      <c r="C39" s="43" t="s">
        <v>103</v>
      </c>
      <c r="D39" s="44" t="s">
        <v>104</v>
      </c>
      <c r="E39" s="59"/>
      <c r="F39" s="44"/>
      <c r="G39" s="44"/>
      <c r="H39" s="35"/>
      <c r="I39" s="44"/>
      <c r="J39" s="44"/>
      <c r="K39" s="49"/>
      <c r="L39" s="48"/>
      <c r="M39" s="49"/>
      <c r="N39" s="49"/>
      <c r="O39" s="49"/>
      <c r="P39" s="60"/>
    </row>
    <row r="40" ht="20" customHeight="1" spans="1:16">
      <c r="A40" s="41"/>
      <c r="B40" s="43"/>
      <c r="C40" s="43" t="s">
        <v>105</v>
      </c>
      <c r="D40" s="44" t="s">
        <v>106</v>
      </c>
      <c r="E40" s="59"/>
      <c r="F40" s="44"/>
      <c r="G40" s="44"/>
      <c r="H40" s="49"/>
      <c r="I40" s="44"/>
      <c r="J40" s="44"/>
      <c r="K40" s="49"/>
      <c r="L40" s="48"/>
      <c r="M40" s="49"/>
      <c r="N40" s="49"/>
      <c r="O40" s="49"/>
      <c r="P40" s="60"/>
    </row>
    <row r="41" ht="20" customHeight="1" spans="1:16">
      <c r="A41" s="41"/>
      <c r="B41" s="43"/>
      <c r="C41" s="43" t="s">
        <v>107</v>
      </c>
      <c r="D41" s="44" t="s">
        <v>108</v>
      </c>
      <c r="E41" s="59"/>
      <c r="F41" s="44"/>
      <c r="G41" s="44"/>
      <c r="H41" s="49"/>
      <c r="I41" s="44"/>
      <c r="J41" s="44"/>
      <c r="K41" s="49"/>
      <c r="L41" s="48"/>
      <c r="M41" s="49"/>
      <c r="N41" s="49"/>
      <c r="O41" s="49"/>
      <c r="P41" s="60"/>
    </row>
    <row r="42" ht="20" customHeight="1" spans="1:16">
      <c r="A42" s="41"/>
      <c r="B42" s="43"/>
      <c r="C42" s="43" t="s">
        <v>109</v>
      </c>
      <c r="D42" s="44" t="s">
        <v>110</v>
      </c>
      <c r="E42" s="59"/>
      <c r="F42" s="44"/>
      <c r="G42" s="44"/>
      <c r="H42" s="49"/>
      <c r="I42" s="44"/>
      <c r="J42" s="44"/>
      <c r="K42" s="49"/>
      <c r="L42" s="48"/>
      <c r="M42" s="49"/>
      <c r="N42" s="49"/>
      <c r="O42" s="49"/>
      <c r="P42" s="60"/>
    </row>
    <row r="43" ht="20" customHeight="1" spans="1:16">
      <c r="A43" s="41"/>
      <c r="B43" s="43"/>
      <c r="C43" s="43" t="s">
        <v>111</v>
      </c>
      <c r="D43" s="44" t="s">
        <v>112</v>
      </c>
      <c r="E43" s="59"/>
      <c r="F43" s="44"/>
      <c r="G43" s="44"/>
      <c r="H43" s="49"/>
      <c r="I43" s="44"/>
      <c r="J43" s="44"/>
      <c r="K43" s="60"/>
      <c r="L43" s="66"/>
      <c r="M43" s="60"/>
      <c r="N43" s="60"/>
      <c r="O43" s="60"/>
      <c r="P43" s="60"/>
    </row>
    <row r="44" ht="20" customHeight="1" spans="1:16">
      <c r="A44" s="41"/>
      <c r="B44" s="43"/>
      <c r="C44" s="43" t="s">
        <v>113</v>
      </c>
      <c r="D44" s="44" t="s">
        <v>114</v>
      </c>
      <c r="E44" s="45"/>
      <c r="F44" s="44" t="s">
        <v>115</v>
      </c>
      <c r="G44" s="44" t="s">
        <v>116</v>
      </c>
      <c r="H44" s="65"/>
      <c r="I44" s="44"/>
      <c r="J44" s="44"/>
      <c r="K44" s="60"/>
      <c r="L44" s="66"/>
      <c r="M44" s="60"/>
      <c r="N44" s="60"/>
      <c r="O44" s="60"/>
      <c r="P44" s="60"/>
    </row>
    <row r="45" ht="20" customHeight="1" spans="1:16">
      <c r="A45" s="41"/>
      <c r="B45" s="43"/>
      <c r="C45" s="43"/>
      <c r="D45" s="44"/>
      <c r="E45" s="52"/>
      <c r="F45" s="44"/>
      <c r="G45" s="57"/>
      <c r="H45" s="65"/>
      <c r="I45" s="44"/>
      <c r="J45" s="44"/>
      <c r="K45" s="60"/>
      <c r="L45" s="66"/>
      <c r="M45" s="60"/>
      <c r="N45" s="60"/>
      <c r="O45" s="60"/>
      <c r="P45" s="60"/>
    </row>
    <row r="46" ht="20" customHeight="1" spans="1:16">
      <c r="A46" s="41"/>
      <c r="B46" s="43"/>
      <c r="C46" s="43"/>
      <c r="D46" s="44"/>
      <c r="E46" s="56"/>
      <c r="F46" s="67"/>
      <c r="G46" s="68"/>
      <c r="H46" s="49"/>
      <c r="I46" s="44"/>
      <c r="J46" s="44"/>
      <c r="K46" s="60"/>
      <c r="L46" s="66"/>
      <c r="M46" s="60"/>
      <c r="N46" s="60"/>
      <c r="O46" s="60"/>
      <c r="P46" s="60"/>
    </row>
    <row r="47" ht="20" customHeight="1" spans="1:16">
      <c r="A47" s="41"/>
      <c r="B47" s="43"/>
      <c r="C47" s="43" t="s">
        <v>117</v>
      </c>
      <c r="D47" s="44" t="s">
        <v>118</v>
      </c>
      <c r="E47" s="59"/>
      <c r="F47" s="44"/>
      <c r="G47" s="44"/>
      <c r="H47" s="49"/>
      <c r="I47" s="44"/>
      <c r="J47" s="44"/>
      <c r="K47" s="60"/>
      <c r="L47" s="66"/>
      <c r="M47" s="60"/>
      <c r="N47" s="60"/>
      <c r="O47" s="60"/>
      <c r="P47" s="60"/>
    </row>
    <row r="48" ht="20" customHeight="1" spans="1:16">
      <c r="A48" s="41"/>
      <c r="B48" s="43"/>
      <c r="C48" s="43" t="s">
        <v>119</v>
      </c>
      <c r="D48" s="44" t="s">
        <v>120</v>
      </c>
      <c r="E48" s="59"/>
      <c r="F48" s="44"/>
      <c r="G48" s="44"/>
      <c r="H48" s="49"/>
      <c r="I48" s="44"/>
      <c r="J48" s="44"/>
      <c r="K48" s="60"/>
      <c r="L48" s="66"/>
      <c r="M48" s="60"/>
      <c r="N48" s="60"/>
      <c r="O48" s="60"/>
      <c r="P48" s="60"/>
    </row>
    <row r="49" ht="20" customHeight="1" spans="1:16">
      <c r="A49" s="41"/>
      <c r="B49" s="43"/>
      <c r="C49" s="43" t="s">
        <v>121</v>
      </c>
      <c r="D49" s="44" t="s">
        <v>122</v>
      </c>
      <c r="E49" s="59"/>
      <c r="F49" s="44"/>
      <c r="G49" s="44"/>
      <c r="H49" s="49"/>
      <c r="I49" s="44"/>
      <c r="J49" s="44"/>
      <c r="K49" s="60"/>
      <c r="L49" s="66"/>
      <c r="M49" s="60"/>
      <c r="N49" s="60"/>
      <c r="O49" s="60"/>
      <c r="P49" s="60"/>
    </row>
    <row r="50" ht="20" customHeight="1" spans="1:16">
      <c r="A50" s="41"/>
      <c r="B50" s="43"/>
      <c r="C50" s="43" t="s">
        <v>123</v>
      </c>
      <c r="D50" s="44" t="s">
        <v>124</v>
      </c>
      <c r="E50" s="59"/>
      <c r="F50" s="44"/>
      <c r="G50" s="44"/>
      <c r="H50" s="49"/>
      <c r="I50" s="44"/>
      <c r="J50" s="44"/>
      <c r="K50" s="60"/>
      <c r="L50" s="66"/>
      <c r="M50" s="60"/>
      <c r="N50" s="60"/>
      <c r="O50" s="60"/>
      <c r="P50" s="60"/>
    </row>
    <row r="51" ht="20" customHeight="1" spans="1:16">
      <c r="A51" s="41"/>
      <c r="B51" s="43"/>
      <c r="C51" s="43" t="s">
        <v>125</v>
      </c>
      <c r="D51" s="44" t="s">
        <v>126</v>
      </c>
      <c r="E51" s="59"/>
      <c r="F51" s="44"/>
      <c r="G51" s="44"/>
      <c r="H51" s="49"/>
      <c r="I51" s="44"/>
      <c r="J51" s="44"/>
      <c r="K51" s="60"/>
      <c r="L51" s="66"/>
      <c r="M51" s="60"/>
      <c r="N51" s="60"/>
      <c r="O51" s="60"/>
      <c r="P51" s="60"/>
    </row>
    <row r="52" ht="20" customHeight="1" spans="1:16">
      <c r="A52" s="41"/>
      <c r="B52" s="43"/>
      <c r="C52" s="43" t="s">
        <v>127</v>
      </c>
      <c r="D52" s="44" t="s">
        <v>128</v>
      </c>
      <c r="E52" s="59"/>
      <c r="F52" s="44"/>
      <c r="G52" s="44"/>
      <c r="H52" s="49"/>
      <c r="I52" s="44"/>
      <c r="J52" s="44"/>
      <c r="K52" s="60"/>
      <c r="L52" s="66"/>
      <c r="M52" s="60"/>
      <c r="N52" s="60"/>
      <c r="O52" s="60"/>
      <c r="P52" s="60"/>
    </row>
    <row r="53" ht="20" customHeight="1" spans="1:16">
      <c r="A53" s="41"/>
      <c r="B53" s="43"/>
      <c r="C53" s="43" t="s">
        <v>129</v>
      </c>
      <c r="D53" s="44" t="s">
        <v>130</v>
      </c>
      <c r="E53" s="59"/>
      <c r="F53" s="44"/>
      <c r="G53" s="44"/>
      <c r="H53" s="49"/>
      <c r="I53" s="44"/>
      <c r="J53" s="44"/>
      <c r="K53" s="60"/>
      <c r="L53" s="66"/>
      <c r="M53" s="60"/>
      <c r="N53" s="60"/>
      <c r="O53" s="60"/>
      <c r="P53" s="60"/>
    </row>
    <row r="54" ht="20" customHeight="1" spans="1:16">
      <c r="A54" s="69">
        <v>4</v>
      </c>
      <c r="B54" s="70" t="s">
        <v>24</v>
      </c>
      <c r="C54" s="43" t="s">
        <v>131</v>
      </c>
      <c r="D54" s="44" t="s">
        <v>132</v>
      </c>
      <c r="E54" s="59"/>
      <c r="F54" s="44"/>
      <c r="G54" s="44"/>
      <c r="H54" s="49"/>
      <c r="I54" s="44"/>
      <c r="J54" s="44"/>
      <c r="K54" s="60"/>
      <c r="L54" s="66"/>
      <c r="M54" s="60"/>
      <c r="N54" s="60"/>
      <c r="O54" s="60"/>
      <c r="P54" s="60"/>
    </row>
    <row r="55" ht="20" customHeight="1" spans="1:16">
      <c r="A55" s="69"/>
      <c r="B55" s="43"/>
      <c r="C55" s="43" t="s">
        <v>133</v>
      </c>
      <c r="D55" s="44" t="s">
        <v>134</v>
      </c>
      <c r="E55" s="59"/>
      <c r="F55" s="44"/>
      <c r="G55" s="44"/>
      <c r="H55" s="49"/>
      <c r="I55" s="44"/>
      <c r="J55" s="44"/>
      <c r="K55" s="60"/>
      <c r="L55" s="66"/>
      <c r="M55" s="60"/>
      <c r="N55" s="60"/>
      <c r="O55" s="60"/>
      <c r="P55" s="60"/>
    </row>
    <row r="56" ht="20" customHeight="1" spans="1:16">
      <c r="A56" s="69"/>
      <c r="B56" s="43"/>
      <c r="C56" s="43" t="s">
        <v>135</v>
      </c>
      <c r="D56" s="44" t="s">
        <v>136</v>
      </c>
      <c r="E56" s="59"/>
      <c r="F56" s="44"/>
      <c r="G56" s="44"/>
      <c r="H56" s="49"/>
      <c r="I56" s="44"/>
      <c r="J56" s="44"/>
      <c r="K56" s="60"/>
      <c r="L56" s="66"/>
      <c r="M56" s="60"/>
      <c r="N56" s="60"/>
      <c r="O56" s="60"/>
      <c r="P56" s="60"/>
    </row>
    <row r="57" ht="20" customHeight="1" spans="1:16">
      <c r="A57" s="69"/>
      <c r="B57" s="43"/>
      <c r="C57" s="43" t="s">
        <v>137</v>
      </c>
      <c r="D57" s="44" t="s">
        <v>138</v>
      </c>
      <c r="E57" s="59"/>
      <c r="F57" s="44"/>
      <c r="G57" s="44"/>
      <c r="H57" s="49"/>
      <c r="I57" s="44"/>
      <c r="J57" s="44"/>
      <c r="K57" s="60"/>
      <c r="L57" s="66"/>
      <c r="M57" s="60"/>
      <c r="N57" s="60"/>
      <c r="O57" s="60"/>
      <c r="P57" s="60"/>
    </row>
    <row r="58" ht="20" customHeight="1" spans="1:16">
      <c r="A58" s="69"/>
      <c r="B58" s="43"/>
      <c r="C58" s="43" t="s">
        <v>139</v>
      </c>
      <c r="D58" s="44" t="s">
        <v>140</v>
      </c>
      <c r="E58" s="59"/>
      <c r="F58" s="44"/>
      <c r="G58" s="44"/>
      <c r="H58" s="49"/>
      <c r="I58" s="44"/>
      <c r="J58" s="44"/>
      <c r="K58" s="60"/>
      <c r="L58" s="66"/>
      <c r="M58" s="60"/>
      <c r="N58" s="60"/>
      <c r="O58" s="60"/>
      <c r="P58" s="60"/>
    </row>
    <row r="59" ht="20" customHeight="1" spans="1:16">
      <c r="A59" s="69"/>
      <c r="B59" s="43"/>
      <c r="C59" s="43" t="s">
        <v>141</v>
      </c>
      <c r="D59" s="44" t="s">
        <v>142</v>
      </c>
      <c r="E59" s="59"/>
      <c r="F59" s="44"/>
      <c r="G59" s="44"/>
      <c r="H59" s="49"/>
      <c r="I59" s="44"/>
      <c r="J59" s="44"/>
      <c r="K59" s="60"/>
      <c r="L59" s="66"/>
      <c r="M59" s="60"/>
      <c r="N59" s="60"/>
      <c r="O59" s="60"/>
      <c r="P59" s="60"/>
    </row>
    <row r="60" ht="20" customHeight="1" spans="1:16">
      <c r="A60" s="69"/>
      <c r="B60" s="43"/>
      <c r="C60" s="43" t="s">
        <v>143</v>
      </c>
      <c r="D60" s="44" t="s">
        <v>144</v>
      </c>
      <c r="E60" s="71"/>
      <c r="F60" s="44"/>
      <c r="G60" s="44"/>
      <c r="H60" s="72"/>
      <c r="I60" s="44"/>
      <c r="J60" s="44"/>
      <c r="K60" s="60"/>
      <c r="L60" s="66"/>
      <c r="M60" s="60"/>
      <c r="N60" s="60"/>
      <c r="O60" s="60"/>
      <c r="P60" s="60"/>
    </row>
    <row r="61" ht="20" customHeight="1" spans="1:16">
      <c r="A61" s="69"/>
      <c r="B61" s="43"/>
      <c r="C61" s="43" t="s">
        <v>145</v>
      </c>
      <c r="D61" s="44" t="s">
        <v>146</v>
      </c>
      <c r="E61" s="71"/>
      <c r="F61" s="44"/>
      <c r="G61" s="44"/>
      <c r="H61" s="72"/>
      <c r="I61" s="44"/>
      <c r="J61" s="44"/>
      <c r="K61" s="60"/>
      <c r="L61" s="66"/>
      <c r="M61" s="60"/>
      <c r="N61" s="60"/>
      <c r="O61" s="60"/>
      <c r="P61" s="60"/>
    </row>
    <row r="62" ht="20" customHeight="1" spans="1:16">
      <c r="A62" s="69"/>
      <c r="B62" s="43"/>
      <c r="C62" s="43" t="s">
        <v>127</v>
      </c>
      <c r="D62" s="44" t="s">
        <v>128</v>
      </c>
      <c r="E62" s="59"/>
      <c r="F62" s="44"/>
      <c r="G62" s="44"/>
      <c r="H62" s="49"/>
      <c r="I62" s="44"/>
      <c r="J62" s="44"/>
      <c r="K62" s="60"/>
      <c r="L62" s="66"/>
      <c r="M62" s="60"/>
      <c r="N62" s="60"/>
      <c r="O62" s="60"/>
      <c r="P62" s="60"/>
    </row>
    <row r="63" ht="20" customHeight="1" spans="1:16">
      <c r="A63" s="69">
        <v>5</v>
      </c>
      <c r="B63" s="70" t="s">
        <v>27</v>
      </c>
      <c r="C63" s="43" t="s">
        <v>147</v>
      </c>
      <c r="D63" s="44" t="s">
        <v>148</v>
      </c>
      <c r="E63" s="59"/>
      <c r="F63" s="44"/>
      <c r="G63" s="44"/>
      <c r="H63" s="49"/>
      <c r="I63" s="44"/>
      <c r="J63" s="44"/>
      <c r="K63" s="60"/>
      <c r="L63" s="66"/>
      <c r="M63" s="60"/>
      <c r="N63" s="60"/>
      <c r="O63" s="60"/>
      <c r="P63" s="60"/>
    </row>
    <row r="64" ht="20" customHeight="1" spans="1:16">
      <c r="A64" s="51"/>
      <c r="B64" s="73"/>
      <c r="C64" s="43" t="s">
        <v>149</v>
      </c>
      <c r="D64" s="44" t="s">
        <v>150</v>
      </c>
      <c r="E64" s="59"/>
      <c r="F64" s="44"/>
      <c r="G64" s="44"/>
      <c r="H64" s="49"/>
      <c r="I64" s="44"/>
      <c r="J64" s="44"/>
      <c r="K64" s="9"/>
      <c r="L64" s="66"/>
      <c r="M64" s="60"/>
      <c r="N64" s="60"/>
      <c r="O64" s="60"/>
      <c r="P64" s="60"/>
    </row>
    <row r="65" ht="20" customHeight="1" spans="1:16">
      <c r="A65" s="51"/>
      <c r="B65" s="73"/>
      <c r="C65" s="43" t="s">
        <v>151</v>
      </c>
      <c r="D65" s="44" t="s">
        <v>152</v>
      </c>
      <c r="E65" s="59"/>
      <c r="F65" s="44"/>
      <c r="G65" s="44"/>
      <c r="H65" s="49"/>
      <c r="I65" s="44"/>
      <c r="J65" s="44"/>
      <c r="K65" s="9"/>
      <c r="L65" s="66"/>
      <c r="M65" s="60"/>
      <c r="N65" s="60"/>
      <c r="O65" s="60"/>
      <c r="P65" s="60"/>
    </row>
    <row r="66" ht="20" customHeight="1" spans="1:16">
      <c r="A66" s="51"/>
      <c r="B66" s="73"/>
      <c r="C66" s="43" t="s">
        <v>153</v>
      </c>
      <c r="D66" s="44" t="s">
        <v>154</v>
      </c>
      <c r="E66" s="59"/>
      <c r="F66" s="44"/>
      <c r="G66" s="44"/>
      <c r="H66" s="49"/>
      <c r="I66" s="44"/>
      <c r="J66" s="44"/>
      <c r="K66" s="60"/>
      <c r="L66" s="66"/>
      <c r="M66" s="60"/>
      <c r="N66" s="60"/>
      <c r="O66" s="60"/>
      <c r="P66" s="60"/>
    </row>
    <row r="67" ht="20" customHeight="1" spans="1:16">
      <c r="A67" s="51"/>
      <c r="B67" s="73"/>
      <c r="C67" s="43" t="s">
        <v>155</v>
      </c>
      <c r="D67" s="44" t="s">
        <v>156</v>
      </c>
      <c r="E67" s="59"/>
      <c r="F67" s="44"/>
      <c r="G67" s="44"/>
      <c r="H67" s="49"/>
      <c r="I67" s="44"/>
      <c r="J67" s="44"/>
      <c r="K67" s="60"/>
      <c r="L67" s="66"/>
      <c r="M67" s="60"/>
      <c r="N67" s="60"/>
      <c r="O67" s="60"/>
      <c r="P67" s="60"/>
    </row>
    <row r="68" ht="20" customHeight="1" spans="1:16">
      <c r="A68" s="51"/>
      <c r="B68" s="73"/>
      <c r="C68" s="43" t="s">
        <v>157</v>
      </c>
      <c r="D68" s="44" t="s">
        <v>158</v>
      </c>
      <c r="E68" s="59"/>
      <c r="F68" s="44"/>
      <c r="G68" s="44"/>
      <c r="H68" s="49"/>
      <c r="I68" s="44"/>
      <c r="J68" s="44"/>
      <c r="K68" s="60"/>
      <c r="L68" s="66"/>
      <c r="M68" s="60"/>
      <c r="N68" s="60"/>
      <c r="O68" s="60"/>
      <c r="P68" s="60"/>
    </row>
    <row r="69" ht="20" customHeight="1" spans="1:16">
      <c r="A69" s="51"/>
      <c r="B69" s="73"/>
      <c r="C69" s="43" t="s">
        <v>159</v>
      </c>
      <c r="D69" s="44" t="s">
        <v>160</v>
      </c>
      <c r="E69" s="59"/>
      <c r="F69" s="44"/>
      <c r="G69" s="44"/>
      <c r="H69" s="49"/>
      <c r="I69" s="44"/>
      <c r="J69" s="44"/>
      <c r="K69" s="60"/>
      <c r="L69" s="66"/>
      <c r="M69" s="60"/>
      <c r="N69" s="60"/>
      <c r="O69" s="60"/>
      <c r="P69" s="60"/>
    </row>
    <row r="70" ht="20" customHeight="1" spans="1:16">
      <c r="A70" s="51"/>
      <c r="B70" s="73"/>
      <c r="C70" s="43" t="s">
        <v>161</v>
      </c>
      <c r="D70" s="44" t="s">
        <v>162</v>
      </c>
      <c r="E70" s="59"/>
      <c r="F70" s="44"/>
      <c r="G70" s="44"/>
      <c r="H70" s="49"/>
      <c r="I70" s="44"/>
      <c r="J70" s="44"/>
      <c r="K70" s="60"/>
      <c r="L70" s="66"/>
      <c r="M70" s="60"/>
      <c r="N70" s="60"/>
      <c r="O70" s="60"/>
      <c r="P70" s="60"/>
    </row>
    <row r="71" ht="20" customHeight="1" spans="1:16">
      <c r="A71" s="51"/>
      <c r="B71" s="73"/>
      <c r="C71" s="43" t="s">
        <v>123</v>
      </c>
      <c r="D71" s="44" t="s">
        <v>124</v>
      </c>
      <c r="E71" s="59"/>
      <c r="F71" s="44"/>
      <c r="G71" s="44"/>
      <c r="H71" s="49"/>
      <c r="I71" s="44"/>
      <c r="J71" s="44"/>
      <c r="K71" s="60"/>
      <c r="L71" s="66"/>
      <c r="M71" s="60"/>
      <c r="N71" s="60"/>
      <c r="O71" s="60"/>
      <c r="P71" s="60"/>
    </row>
    <row r="72" ht="20" customHeight="1" spans="1:16">
      <c r="A72" s="69">
        <v>6</v>
      </c>
      <c r="B72" s="42" t="s">
        <v>163</v>
      </c>
      <c r="C72" s="51"/>
      <c r="D72" s="44" t="s">
        <v>164</v>
      </c>
      <c r="E72" s="59"/>
      <c r="F72" s="44"/>
      <c r="G72" s="44"/>
      <c r="H72" s="49"/>
      <c r="I72" s="44"/>
      <c r="J72" s="44"/>
      <c r="K72" s="60"/>
      <c r="L72" s="66"/>
      <c r="M72" s="60"/>
      <c r="N72" s="60"/>
      <c r="O72" s="60"/>
      <c r="P72" s="60"/>
    </row>
    <row r="73" ht="20" customHeight="1" spans="1:16">
      <c r="A73" s="51"/>
      <c r="B73" s="51"/>
      <c r="C73" s="51"/>
      <c r="D73" s="44" t="s">
        <v>165</v>
      </c>
      <c r="E73" s="59"/>
      <c r="F73" s="44"/>
      <c r="G73" s="57"/>
      <c r="H73" s="49"/>
      <c r="I73" s="44"/>
      <c r="J73" s="44"/>
      <c r="K73" s="60"/>
      <c r="L73" s="66"/>
      <c r="M73" s="60"/>
      <c r="N73" s="60"/>
      <c r="O73" s="60"/>
      <c r="P73" s="60"/>
    </row>
    <row r="74" ht="20" customHeight="1" spans="1:16">
      <c r="A74" s="69">
        <v>7</v>
      </c>
      <c r="B74" s="74" t="s">
        <v>166</v>
      </c>
      <c r="C74" s="43" t="s">
        <v>167</v>
      </c>
      <c r="D74" s="44" t="s">
        <v>168</v>
      </c>
      <c r="E74" s="75"/>
      <c r="F74" s="44" t="s">
        <v>169</v>
      </c>
      <c r="G74" s="44" t="s">
        <v>170</v>
      </c>
      <c r="H74" s="65"/>
      <c r="I74" s="43" t="s">
        <v>171</v>
      </c>
      <c r="J74" s="44" t="s">
        <v>172</v>
      </c>
      <c r="K74" s="76"/>
      <c r="L74" s="66"/>
      <c r="M74" s="60"/>
      <c r="N74" s="60"/>
      <c r="O74" s="60"/>
      <c r="P74" s="60"/>
    </row>
    <row r="75" ht="20" customHeight="1" spans="1:16">
      <c r="A75" s="69"/>
      <c r="B75" s="74"/>
      <c r="C75" s="43"/>
      <c r="D75" s="44"/>
      <c r="E75" s="77"/>
      <c r="F75" s="44" t="s">
        <v>173</v>
      </c>
      <c r="G75" s="44" t="s">
        <v>170</v>
      </c>
      <c r="H75" s="65"/>
      <c r="I75" s="43"/>
      <c r="J75" s="44"/>
      <c r="K75" s="78"/>
      <c r="L75" s="66"/>
      <c r="M75" s="60"/>
      <c r="N75" s="60"/>
      <c r="O75" s="60"/>
      <c r="P75" s="60"/>
    </row>
    <row r="76" ht="20" customHeight="1" spans="1:16">
      <c r="A76" s="69"/>
      <c r="B76" s="79" t="s">
        <v>174</v>
      </c>
      <c r="C76" s="43" t="s">
        <v>175</v>
      </c>
      <c r="D76" s="44" t="s">
        <v>176</v>
      </c>
      <c r="E76" s="45"/>
      <c r="F76" s="44" t="s">
        <v>177</v>
      </c>
      <c r="G76" s="57" t="s">
        <v>178</v>
      </c>
      <c r="H76" s="65"/>
      <c r="I76" s="43" t="s">
        <v>179</v>
      </c>
      <c r="J76" s="44" t="s">
        <v>180</v>
      </c>
      <c r="K76" s="76"/>
      <c r="L76" s="66"/>
      <c r="M76" s="60"/>
      <c r="N76" s="60"/>
      <c r="O76" s="60"/>
      <c r="P76" s="60"/>
    </row>
    <row r="77" ht="20" customHeight="1" spans="1:16">
      <c r="A77" s="69"/>
      <c r="B77" s="79"/>
      <c r="C77" s="43"/>
      <c r="D77" s="44"/>
      <c r="E77" s="52"/>
      <c r="F77" s="44" t="s">
        <v>181</v>
      </c>
      <c r="G77" s="57" t="s">
        <v>182</v>
      </c>
      <c r="H77" s="65"/>
      <c r="I77" s="43"/>
      <c r="J77" s="44"/>
      <c r="K77" s="80"/>
      <c r="L77" s="66"/>
      <c r="M77" s="60"/>
      <c r="N77" s="60"/>
      <c r="O77" s="60"/>
      <c r="P77" s="60"/>
    </row>
    <row r="78" ht="20" customHeight="1" spans="1:16">
      <c r="A78" s="69">
        <v>8</v>
      </c>
      <c r="B78" s="81"/>
      <c r="C78" s="43"/>
      <c r="D78" s="44"/>
      <c r="E78" s="56"/>
      <c r="F78" s="44" t="s">
        <v>183</v>
      </c>
      <c r="G78" s="57" t="s">
        <v>184</v>
      </c>
      <c r="H78" s="65"/>
      <c r="I78" s="44"/>
      <c r="J78" s="44"/>
      <c r="K78" s="78"/>
      <c r="L78" s="66"/>
      <c r="M78" s="60"/>
      <c r="N78" s="60"/>
      <c r="O78" s="60"/>
      <c r="P78" s="60"/>
    </row>
    <row r="79" ht="20" customHeight="1" spans="1:16">
      <c r="A79" s="69">
        <v>9</v>
      </c>
      <c r="B79" s="43" t="s">
        <v>185</v>
      </c>
      <c r="C79" s="43" t="s">
        <v>186</v>
      </c>
      <c r="D79" s="44" t="s">
        <v>187</v>
      </c>
      <c r="E79" s="59"/>
      <c r="F79" s="44"/>
      <c r="G79" s="44"/>
      <c r="H79" s="49"/>
      <c r="I79" s="44"/>
      <c r="J79" s="44"/>
      <c r="K79" s="60"/>
      <c r="L79" s="66"/>
      <c r="M79" s="60"/>
      <c r="N79" s="60"/>
      <c r="O79" s="60"/>
      <c r="P79" s="60"/>
    </row>
    <row r="80" ht="25" customHeight="1" spans="1:16">
      <c r="A80" s="51"/>
      <c r="B80" s="73"/>
      <c r="C80" s="43" t="s">
        <v>188</v>
      </c>
      <c r="D80" s="44" t="s">
        <v>189</v>
      </c>
      <c r="E80" s="59"/>
      <c r="F80" s="44"/>
      <c r="G80" s="44"/>
      <c r="H80" s="49"/>
      <c r="I80" s="44"/>
      <c r="J80" s="44"/>
      <c r="K80" s="60"/>
      <c r="L80" s="66"/>
      <c r="M80" s="60"/>
      <c r="N80" s="60"/>
      <c r="O80" s="60"/>
      <c r="P80" s="60"/>
    </row>
    <row r="81" ht="25" customHeight="1" spans="1:16">
      <c r="A81" s="51"/>
      <c r="B81" s="73"/>
      <c r="C81" s="43" t="s">
        <v>190</v>
      </c>
      <c r="D81" s="44" t="s">
        <v>191</v>
      </c>
      <c r="E81" s="59"/>
      <c r="F81" s="44" t="s">
        <v>192</v>
      </c>
      <c r="G81" s="44" t="s">
        <v>193</v>
      </c>
      <c r="H81" s="49"/>
      <c r="I81" s="44">
        <v>22311005</v>
      </c>
      <c r="J81" s="44" t="s">
        <v>194</v>
      </c>
      <c r="K81" s="60"/>
      <c r="L81" s="66"/>
      <c r="M81" s="60"/>
      <c r="N81" s="60"/>
      <c r="O81" s="60"/>
      <c r="P81" s="60"/>
    </row>
    <row r="82" ht="25" customHeight="1" spans="1:16">
      <c r="A82" s="51"/>
      <c r="B82" s="73"/>
      <c r="C82" s="43" t="s">
        <v>195</v>
      </c>
      <c r="D82" s="44" t="s">
        <v>196</v>
      </c>
      <c r="E82" s="59"/>
      <c r="F82" s="44"/>
      <c r="G82" s="44"/>
      <c r="H82" s="49"/>
      <c r="I82" s="44"/>
      <c r="J82" s="44"/>
      <c r="K82" s="60"/>
      <c r="L82" s="66"/>
      <c r="M82" s="60"/>
      <c r="N82" s="60"/>
      <c r="O82" s="60"/>
      <c r="P82" s="60"/>
    </row>
    <row r="83" ht="20" customHeight="1" spans="1:16">
      <c r="A83" s="51"/>
      <c r="B83" s="73"/>
      <c r="C83" s="43" t="s">
        <v>197</v>
      </c>
      <c r="D83" s="44" t="s">
        <v>198</v>
      </c>
      <c r="E83" s="71"/>
      <c r="F83" s="44"/>
      <c r="G83" s="44"/>
      <c r="H83" s="49"/>
      <c r="I83" s="44"/>
      <c r="J83" s="44"/>
      <c r="K83" s="60"/>
      <c r="L83" s="66"/>
      <c r="M83" s="60"/>
      <c r="N83" s="60"/>
      <c r="O83" s="60"/>
      <c r="P83" s="60"/>
    </row>
    <row r="84" ht="20" customHeight="1" spans="1:16">
      <c r="A84" s="51"/>
      <c r="B84" s="73"/>
      <c r="C84" s="43" t="s">
        <v>199</v>
      </c>
      <c r="D84" s="44" t="s">
        <v>200</v>
      </c>
      <c r="E84" s="71"/>
      <c r="F84" s="44"/>
      <c r="G84" s="44"/>
      <c r="H84" s="49"/>
      <c r="I84" s="44"/>
      <c r="J84" s="44"/>
      <c r="K84" s="60"/>
      <c r="L84" s="66"/>
      <c r="M84" s="60"/>
      <c r="N84" s="60"/>
      <c r="O84" s="60"/>
      <c r="P84" s="60"/>
    </row>
    <row r="85" ht="20" customHeight="1" spans="1:16">
      <c r="A85" s="51"/>
      <c r="B85" s="73"/>
      <c r="C85" s="43" t="s">
        <v>201</v>
      </c>
      <c r="D85" s="44" t="s">
        <v>202</v>
      </c>
      <c r="E85" s="71"/>
      <c r="F85" s="44" t="s">
        <v>203</v>
      </c>
      <c r="G85" s="44" t="s">
        <v>204</v>
      </c>
      <c r="H85" s="49"/>
      <c r="I85" s="44" t="s">
        <v>205</v>
      </c>
      <c r="J85" s="44" t="s">
        <v>206</v>
      </c>
      <c r="K85" s="60"/>
      <c r="L85" s="66"/>
      <c r="M85" s="60"/>
      <c r="N85" s="60"/>
      <c r="O85" s="60"/>
      <c r="P85" s="60"/>
    </row>
    <row r="86" ht="20" customHeight="1" spans="1:16">
      <c r="A86" s="51"/>
      <c r="B86" s="73"/>
      <c r="C86" s="43" t="s">
        <v>207</v>
      </c>
      <c r="D86" s="44" t="s">
        <v>187</v>
      </c>
      <c r="E86" s="82"/>
      <c r="F86" s="44"/>
      <c r="G86" s="44"/>
      <c r="H86" s="49"/>
      <c r="I86" s="44"/>
      <c r="J86" s="44"/>
      <c r="K86" s="60"/>
      <c r="L86" s="66"/>
      <c r="M86" s="60"/>
      <c r="N86" s="60"/>
      <c r="O86" s="60"/>
      <c r="P86" s="60"/>
    </row>
    <row r="87" ht="20" customHeight="1" spans="1:16">
      <c r="A87" s="51"/>
      <c r="B87" s="73"/>
      <c r="C87" s="43" t="s">
        <v>208</v>
      </c>
      <c r="D87" s="44" t="s">
        <v>189</v>
      </c>
      <c r="E87" s="82"/>
      <c r="F87" s="44"/>
      <c r="G87" s="44"/>
      <c r="H87" s="49"/>
      <c r="I87" s="44"/>
      <c r="J87" s="44"/>
      <c r="K87" s="60"/>
      <c r="L87" s="66"/>
      <c r="M87" s="60"/>
      <c r="N87" s="60"/>
      <c r="O87" s="60"/>
      <c r="P87" s="60"/>
    </row>
    <row r="88" ht="20" customHeight="1" spans="1:16">
      <c r="A88" s="51"/>
      <c r="B88" s="73"/>
      <c r="C88" s="43" t="s">
        <v>209</v>
      </c>
      <c r="D88" s="44" t="s">
        <v>191</v>
      </c>
      <c r="E88" s="59"/>
      <c r="F88" s="44"/>
      <c r="G88" s="44"/>
      <c r="H88" s="49"/>
      <c r="I88" s="44"/>
      <c r="J88" s="44"/>
      <c r="K88" s="60"/>
      <c r="L88" s="66"/>
      <c r="M88" s="60"/>
      <c r="N88" s="60"/>
      <c r="O88" s="60"/>
      <c r="P88" s="60"/>
    </row>
    <row r="89" ht="20" customHeight="1" spans="1:16">
      <c r="A89" s="51"/>
      <c r="B89" s="73"/>
      <c r="C89" s="43" t="s">
        <v>210</v>
      </c>
      <c r="D89" s="44" t="s">
        <v>196</v>
      </c>
      <c r="E89" s="59"/>
      <c r="F89" s="44"/>
      <c r="G89" s="44"/>
      <c r="H89" s="49"/>
      <c r="I89" s="44"/>
      <c r="J89" s="44"/>
      <c r="K89" s="60"/>
      <c r="L89" s="66"/>
      <c r="M89" s="60"/>
      <c r="N89" s="60"/>
      <c r="O89" s="60"/>
      <c r="P89" s="60"/>
    </row>
    <row r="90" ht="20" customHeight="1" spans="1:16">
      <c r="A90" s="51"/>
      <c r="B90" s="73"/>
      <c r="C90" s="43" t="s">
        <v>211</v>
      </c>
      <c r="D90" s="44" t="s">
        <v>198</v>
      </c>
      <c r="E90" s="59"/>
      <c r="F90" s="44"/>
      <c r="G90" s="44"/>
      <c r="H90" s="49"/>
      <c r="I90" s="44"/>
      <c r="J90" s="44"/>
      <c r="K90" s="60"/>
      <c r="L90" s="66"/>
      <c r="M90" s="60"/>
      <c r="N90" s="60"/>
      <c r="O90" s="60"/>
      <c r="P90" s="60"/>
    </row>
    <row r="91" ht="20" customHeight="1" spans="1:16">
      <c r="A91" s="51"/>
      <c r="B91" s="73"/>
      <c r="C91" s="43" t="s">
        <v>212</v>
      </c>
      <c r="D91" s="44" t="s">
        <v>200</v>
      </c>
      <c r="E91" s="59"/>
      <c r="F91" s="44"/>
      <c r="G91" s="44"/>
      <c r="H91" s="49"/>
      <c r="I91" s="44"/>
      <c r="J91" s="44"/>
      <c r="K91" s="60"/>
      <c r="L91" s="66"/>
      <c r="M91" s="60"/>
      <c r="N91" s="60"/>
      <c r="O91" s="60"/>
      <c r="P91" s="60"/>
    </row>
    <row r="92" ht="20" customHeight="1" spans="1:16">
      <c r="A92" s="51"/>
      <c r="B92" s="73"/>
      <c r="C92" s="43" t="s">
        <v>213</v>
      </c>
      <c r="D92" s="44" t="s">
        <v>202</v>
      </c>
      <c r="E92" s="59"/>
      <c r="F92" s="44"/>
      <c r="G92" s="44"/>
      <c r="H92" s="49"/>
      <c r="I92" s="44"/>
      <c r="J92" s="44"/>
      <c r="K92" s="60"/>
      <c r="L92" s="66"/>
      <c r="M92" s="60"/>
      <c r="N92" s="60"/>
      <c r="O92" s="60"/>
      <c r="P92" s="60"/>
    </row>
    <row r="93" ht="20" customHeight="1" spans="1:16">
      <c r="A93" s="51"/>
      <c r="B93" s="73"/>
      <c r="C93" s="43" t="s">
        <v>214</v>
      </c>
      <c r="D93" s="44" t="s">
        <v>215</v>
      </c>
      <c r="E93" s="59"/>
      <c r="F93" s="44"/>
      <c r="G93" s="44"/>
      <c r="H93" s="49"/>
      <c r="I93" s="44"/>
      <c r="J93" s="44"/>
      <c r="K93" s="60"/>
      <c r="L93" s="66"/>
      <c r="M93" s="60"/>
      <c r="N93" s="60"/>
      <c r="O93" s="60"/>
      <c r="P93" s="60"/>
    </row>
    <row r="94" ht="20" customHeight="1" spans="1:16">
      <c r="A94" s="51"/>
      <c r="B94" s="73"/>
      <c r="C94" s="43" t="s">
        <v>216</v>
      </c>
      <c r="D94" s="44" t="s">
        <v>215</v>
      </c>
      <c r="E94" s="59"/>
      <c r="F94" s="44"/>
      <c r="G94" s="44"/>
      <c r="H94" s="49"/>
      <c r="I94" s="44"/>
      <c r="J94" s="44"/>
      <c r="K94" s="60"/>
      <c r="L94" s="66"/>
      <c r="M94" s="60"/>
      <c r="N94" s="60"/>
      <c r="O94" s="60"/>
      <c r="P94" s="60"/>
    </row>
    <row r="95" ht="20" customHeight="1" spans="1:16">
      <c r="A95" s="51"/>
      <c r="B95" s="73"/>
      <c r="C95" s="43" t="s">
        <v>217</v>
      </c>
      <c r="D95" s="44" t="s">
        <v>218</v>
      </c>
      <c r="E95" s="59"/>
      <c r="F95" s="44"/>
      <c r="G95" s="44"/>
      <c r="H95" s="49"/>
      <c r="I95" s="44"/>
      <c r="J95" s="44"/>
      <c r="K95" s="60"/>
      <c r="L95" s="66"/>
      <c r="M95" s="60"/>
      <c r="N95" s="60"/>
      <c r="O95" s="60"/>
      <c r="P95" s="60"/>
    </row>
    <row r="96" ht="20" customHeight="1" spans="1:16">
      <c r="A96" s="51"/>
      <c r="B96" s="73"/>
      <c r="C96" s="43" t="s">
        <v>219</v>
      </c>
      <c r="D96" s="44" t="s">
        <v>220</v>
      </c>
      <c r="E96" s="59"/>
      <c r="F96" s="44"/>
      <c r="G96" s="44"/>
      <c r="H96" s="49"/>
      <c r="I96" s="44"/>
      <c r="J96" s="44"/>
      <c r="K96" s="60"/>
      <c r="L96" s="66"/>
      <c r="M96" s="60"/>
      <c r="N96" s="60"/>
      <c r="O96" s="60"/>
      <c r="P96" s="60"/>
    </row>
    <row r="97" ht="20" customHeight="1" spans="1:16">
      <c r="A97" s="51"/>
      <c r="B97" s="73"/>
      <c r="C97" s="43" t="s">
        <v>221</v>
      </c>
      <c r="D97" s="44" t="s">
        <v>222</v>
      </c>
      <c r="E97" s="59"/>
      <c r="F97" s="44"/>
      <c r="G97" s="44"/>
      <c r="H97" s="49"/>
      <c r="I97" s="44"/>
      <c r="J97" s="44"/>
      <c r="K97" s="60"/>
      <c r="L97" s="66"/>
      <c r="M97" s="60"/>
      <c r="N97" s="60"/>
      <c r="O97" s="60"/>
      <c r="P97" s="60"/>
    </row>
    <row r="98" ht="20" customHeight="1" spans="1:16">
      <c r="A98" s="69">
        <v>10</v>
      </c>
      <c r="B98" s="44" t="s">
        <v>223</v>
      </c>
      <c r="C98" s="51"/>
      <c r="D98" s="44" t="s">
        <v>224</v>
      </c>
      <c r="E98" s="59"/>
      <c r="F98" s="44"/>
      <c r="G98" s="44"/>
      <c r="H98" s="49"/>
      <c r="I98" s="44"/>
      <c r="J98" s="44"/>
      <c r="K98" s="60"/>
      <c r="L98" s="66"/>
      <c r="M98" s="60"/>
      <c r="N98" s="60"/>
      <c r="O98" s="60"/>
      <c r="P98" s="60"/>
    </row>
    <row r="99" ht="20" customHeight="1" spans="1:16">
      <c r="A99" s="51"/>
      <c r="B99" s="51"/>
      <c r="C99" s="51"/>
      <c r="D99" s="44" t="s">
        <v>225</v>
      </c>
      <c r="E99" s="59"/>
      <c r="F99" s="44"/>
      <c r="G99" s="44"/>
      <c r="H99" s="49"/>
      <c r="I99" s="44"/>
      <c r="J99" s="44"/>
      <c r="K99" s="60"/>
      <c r="L99" s="66"/>
      <c r="M99" s="60"/>
      <c r="N99" s="60"/>
      <c r="O99" s="60"/>
      <c r="P99" s="60"/>
    </row>
    <row r="100" ht="20" customHeight="1" spans="1:16">
      <c r="A100" s="51"/>
      <c r="B100" s="51"/>
      <c r="C100" s="51"/>
      <c r="D100" s="44" t="s">
        <v>226</v>
      </c>
      <c r="E100" s="59"/>
      <c r="F100" s="44"/>
      <c r="G100" s="44"/>
      <c r="H100" s="49"/>
      <c r="I100" s="44"/>
      <c r="J100" s="44"/>
      <c r="K100" s="60"/>
      <c r="L100" s="66"/>
      <c r="M100" s="60"/>
      <c r="N100" s="60"/>
      <c r="O100" s="60"/>
      <c r="P100" s="60"/>
    </row>
    <row r="101" ht="20" customHeight="1" spans="1:16">
      <c r="A101" s="69">
        <v>11</v>
      </c>
      <c r="B101" s="42" t="s">
        <v>37</v>
      </c>
      <c r="C101" s="43" t="s">
        <v>60</v>
      </c>
      <c r="D101" s="44" t="s">
        <v>61</v>
      </c>
      <c r="E101" s="59"/>
      <c r="F101" s="44"/>
      <c r="G101" s="44"/>
      <c r="H101" s="49"/>
      <c r="I101" s="44"/>
      <c r="J101" s="44"/>
      <c r="K101" s="60"/>
      <c r="L101" s="66"/>
      <c r="M101" s="60"/>
      <c r="N101" s="60"/>
      <c r="O101" s="60"/>
      <c r="P101" s="60"/>
    </row>
    <row r="102" ht="20" customHeight="1" spans="1:16">
      <c r="A102" s="51"/>
      <c r="B102" s="51"/>
      <c r="C102" s="43" t="s">
        <v>62</v>
      </c>
      <c r="D102" s="44" t="s">
        <v>61</v>
      </c>
      <c r="E102" s="59"/>
      <c r="F102" s="44"/>
      <c r="G102" s="44"/>
      <c r="H102" s="49"/>
      <c r="I102" s="44"/>
      <c r="J102" s="44"/>
      <c r="K102" s="60"/>
      <c r="L102" s="66"/>
      <c r="M102" s="60"/>
      <c r="N102" s="60"/>
      <c r="O102" s="60"/>
      <c r="P102" s="60"/>
    </row>
    <row r="103" ht="20" customHeight="1" spans="1:16">
      <c r="A103" s="51"/>
      <c r="B103" s="51"/>
      <c r="C103" s="43" t="s">
        <v>63</v>
      </c>
      <c r="D103" s="44" t="s">
        <v>61</v>
      </c>
      <c r="E103" s="59"/>
      <c r="F103" s="44"/>
      <c r="G103" s="44"/>
      <c r="H103" s="49"/>
      <c r="I103" s="44"/>
      <c r="J103" s="44"/>
      <c r="K103" s="60"/>
      <c r="L103" s="66"/>
      <c r="M103" s="60"/>
      <c r="N103" s="60"/>
      <c r="O103" s="60"/>
      <c r="P103" s="60"/>
    </row>
    <row r="104" ht="20" customHeight="1" spans="1:16">
      <c r="A104" s="51"/>
      <c r="B104" s="51"/>
      <c r="C104" s="43" t="s">
        <v>64</v>
      </c>
      <c r="D104" s="44" t="s">
        <v>61</v>
      </c>
      <c r="E104" s="59"/>
      <c r="F104" s="44"/>
      <c r="G104" s="44"/>
      <c r="H104" s="49"/>
      <c r="I104" s="44"/>
      <c r="J104" s="44"/>
      <c r="K104" s="60"/>
      <c r="L104" s="66"/>
      <c r="M104" s="60"/>
      <c r="N104" s="60"/>
      <c r="O104" s="60"/>
      <c r="P104" s="60"/>
    </row>
    <row r="105" ht="20" customHeight="1" spans="1:16">
      <c r="A105" s="51"/>
      <c r="B105" s="51"/>
      <c r="C105" s="43" t="s">
        <v>65</v>
      </c>
      <c r="D105" s="44" t="s">
        <v>61</v>
      </c>
      <c r="E105" s="59"/>
      <c r="F105" s="44"/>
      <c r="G105" s="44"/>
      <c r="H105" s="60"/>
      <c r="I105" s="44"/>
      <c r="J105" s="44"/>
      <c r="K105" s="60"/>
      <c r="L105" s="66"/>
      <c r="M105" s="60"/>
      <c r="N105" s="60"/>
      <c r="O105" s="60"/>
      <c r="P105" s="60"/>
    </row>
    <row r="106" ht="20" customHeight="1" spans="1:16">
      <c r="A106" s="51"/>
      <c r="B106" s="51"/>
      <c r="C106" s="43" t="s">
        <v>66</v>
      </c>
      <c r="D106" s="44" t="s">
        <v>61</v>
      </c>
      <c r="E106" s="59"/>
      <c r="F106" s="44"/>
      <c r="G106" s="44"/>
      <c r="H106" s="83"/>
      <c r="I106" s="44"/>
      <c r="J106" s="44"/>
      <c r="K106" s="60"/>
      <c r="L106" s="66"/>
      <c r="M106" s="60"/>
      <c r="N106" s="60"/>
      <c r="O106" s="60"/>
      <c r="P106" s="60"/>
    </row>
    <row r="107" ht="20" customHeight="1" spans="1:16">
      <c r="A107" s="51"/>
      <c r="B107" s="51"/>
      <c r="C107" s="43" t="s">
        <v>67</v>
      </c>
      <c r="D107" s="44" t="s">
        <v>61</v>
      </c>
      <c r="E107" s="59"/>
      <c r="F107" s="44"/>
      <c r="G107" s="44"/>
      <c r="H107" s="60"/>
      <c r="I107" s="44"/>
      <c r="J107" s="44"/>
      <c r="K107" s="60"/>
      <c r="L107" s="66"/>
      <c r="M107" s="60"/>
      <c r="N107" s="60"/>
      <c r="O107" s="60"/>
      <c r="P107" s="60"/>
    </row>
    <row r="108" ht="20" customHeight="1" spans="1:16">
      <c r="A108" s="51"/>
      <c r="B108" s="51"/>
      <c r="C108" s="43" t="s">
        <v>68</v>
      </c>
      <c r="D108" s="44" t="s">
        <v>61</v>
      </c>
      <c r="E108" s="59"/>
      <c r="F108" s="44"/>
      <c r="G108" s="44"/>
      <c r="H108" s="60"/>
      <c r="I108" s="44"/>
      <c r="J108" s="44"/>
      <c r="K108" s="60"/>
      <c r="L108" s="66"/>
      <c r="M108" s="60"/>
      <c r="N108" s="60"/>
      <c r="O108" s="60"/>
      <c r="P108" s="60"/>
    </row>
    <row r="109" ht="45" customHeight="1" spans="1:16">
      <c r="A109" s="51"/>
      <c r="B109" s="51"/>
      <c r="C109" s="43" t="s">
        <v>69</v>
      </c>
      <c r="D109" s="44" t="s">
        <v>61</v>
      </c>
      <c r="E109" s="84"/>
      <c r="F109" s="44"/>
      <c r="G109" s="44"/>
      <c r="H109" s="9"/>
      <c r="I109" s="44"/>
      <c r="J109" s="44"/>
      <c r="K109" s="9"/>
      <c r="L109" s="66"/>
      <c r="M109" s="60"/>
      <c r="N109" s="60"/>
      <c r="O109" s="60"/>
      <c r="P109" s="60"/>
    </row>
    <row r="110" ht="45" customHeight="1" spans="1:16">
      <c r="A110" s="51"/>
      <c r="B110" s="51"/>
      <c r="C110" s="43" t="s">
        <v>227</v>
      </c>
      <c r="D110" s="44" t="s">
        <v>228</v>
      </c>
      <c r="E110" s="84"/>
      <c r="F110" s="44"/>
      <c r="G110" s="44"/>
      <c r="H110" s="9"/>
      <c r="I110" s="44"/>
      <c r="J110" s="44"/>
      <c r="K110" s="9"/>
      <c r="L110" s="66"/>
      <c r="M110" s="60"/>
      <c r="N110" s="60"/>
      <c r="O110" s="60"/>
      <c r="P110" s="60"/>
    </row>
    <row r="111" spans="1:16">
      <c r="A111" s="69">
        <v>12</v>
      </c>
      <c r="B111" s="42" t="s">
        <v>72</v>
      </c>
      <c r="C111" s="43" t="s">
        <v>97</v>
      </c>
      <c r="D111" s="44" t="s">
        <v>98</v>
      </c>
      <c r="E111" s="85"/>
      <c r="F111" s="44"/>
      <c r="G111" s="44"/>
      <c r="H111" s="60"/>
      <c r="I111" s="44"/>
      <c r="J111" s="44"/>
      <c r="K111" s="60"/>
      <c r="L111" s="66"/>
      <c r="M111" s="60"/>
      <c r="N111" s="60"/>
      <c r="O111" s="60"/>
      <c r="P111" s="60"/>
    </row>
    <row r="112" spans="1:16">
      <c r="A112" s="51"/>
      <c r="B112" s="51"/>
      <c r="C112" s="43" t="s">
        <v>99</v>
      </c>
      <c r="D112" s="44" t="s">
        <v>100</v>
      </c>
      <c r="E112" s="85"/>
      <c r="F112" s="44"/>
      <c r="G112" s="44"/>
      <c r="H112" s="60"/>
      <c r="I112" s="44"/>
      <c r="J112" s="44"/>
      <c r="K112" s="60"/>
      <c r="L112" s="66"/>
      <c r="M112" s="60"/>
      <c r="N112" s="60"/>
      <c r="O112" s="60"/>
      <c r="P112" s="60"/>
    </row>
    <row r="113" spans="1:17">
      <c r="A113" s="51"/>
      <c r="B113" s="51"/>
      <c r="C113" s="43" t="s">
        <v>101</v>
      </c>
      <c r="D113" s="44" t="s">
        <v>102</v>
      </c>
      <c r="E113" s="85"/>
      <c r="F113" s="44"/>
      <c r="G113" s="44"/>
      <c r="H113" s="60"/>
      <c r="I113" s="44"/>
      <c r="J113" s="44"/>
      <c r="K113" s="60"/>
      <c r="L113" s="66"/>
      <c r="M113" s="60"/>
      <c r="N113" s="60"/>
      <c r="O113" s="60"/>
      <c r="P113" s="60"/>
    </row>
    <row r="114" spans="1:17">
      <c r="A114" s="51"/>
      <c r="B114" s="51"/>
      <c r="C114" s="43" t="s">
        <v>103</v>
      </c>
      <c r="D114" s="44" t="s">
        <v>104</v>
      </c>
      <c r="E114" s="60"/>
      <c r="F114" s="44"/>
      <c r="G114" s="44"/>
      <c r="H114" s="60"/>
      <c r="I114" s="44"/>
      <c r="J114" s="44"/>
      <c r="K114" s="60"/>
      <c r="L114" s="66"/>
      <c r="M114" s="60"/>
      <c r="N114" s="60"/>
      <c r="O114" s="60"/>
      <c r="P114" s="60"/>
    </row>
    <row r="115" spans="1:17">
      <c r="A115" s="51"/>
      <c r="B115" s="51"/>
      <c r="C115" s="43" t="s">
        <v>105</v>
      </c>
      <c r="D115" s="44" t="s">
        <v>106</v>
      </c>
      <c r="E115" s="60"/>
      <c r="F115" s="44"/>
      <c r="G115" s="44"/>
      <c r="H115" s="60"/>
      <c r="I115" s="44"/>
      <c r="J115" s="44"/>
      <c r="K115" s="60"/>
      <c r="L115" s="66"/>
      <c r="M115" s="60"/>
      <c r="N115" s="60"/>
      <c r="O115" s="60"/>
      <c r="P115" s="60"/>
    </row>
    <row r="116" spans="1:17">
      <c r="A116" s="51"/>
      <c r="B116" s="51"/>
      <c r="C116" s="43" t="s">
        <v>107</v>
      </c>
      <c r="D116" s="44" t="s">
        <v>108</v>
      </c>
      <c r="E116" s="60"/>
      <c r="F116" s="44"/>
      <c r="G116" s="44"/>
      <c r="H116" s="60"/>
      <c r="I116" s="44"/>
      <c r="J116" s="44"/>
      <c r="K116" s="60"/>
      <c r="L116" s="66"/>
      <c r="M116" s="60"/>
      <c r="N116" s="60"/>
      <c r="O116" s="60"/>
      <c r="P116" s="60"/>
    </row>
    <row r="117" spans="1:17">
      <c r="A117" s="51"/>
      <c r="B117" s="51"/>
      <c r="C117" s="43" t="s">
        <v>109</v>
      </c>
      <c r="D117" s="44" t="s">
        <v>110</v>
      </c>
      <c r="E117" s="60"/>
      <c r="F117" s="44"/>
      <c r="G117" s="44"/>
      <c r="H117" s="60"/>
      <c r="I117" s="44"/>
      <c r="J117" s="44"/>
      <c r="K117" s="60"/>
      <c r="L117" s="66"/>
      <c r="M117" s="60"/>
      <c r="N117" s="60"/>
      <c r="O117" s="60"/>
      <c r="P117" s="60"/>
    </row>
    <row r="118" spans="1:17">
      <c r="A118" s="51"/>
      <c r="B118" s="51"/>
      <c r="C118" s="43" t="s">
        <v>117</v>
      </c>
      <c r="D118" s="44" t="s">
        <v>118</v>
      </c>
      <c r="E118" s="60"/>
      <c r="F118" s="44"/>
      <c r="G118" s="44"/>
      <c r="H118" s="60"/>
      <c r="I118" s="44"/>
      <c r="J118" s="44"/>
      <c r="K118" s="60"/>
      <c r="L118" s="66"/>
      <c r="M118" s="60"/>
      <c r="N118" s="60"/>
      <c r="O118" s="60"/>
      <c r="P118" s="60"/>
    </row>
    <row r="119" spans="1:17">
      <c r="A119" s="51"/>
      <c r="B119" s="51"/>
      <c r="C119" s="43" t="s">
        <v>111</v>
      </c>
      <c r="D119" s="44" t="s">
        <v>112</v>
      </c>
      <c r="E119" s="60"/>
      <c r="F119" s="44"/>
      <c r="G119" s="44"/>
      <c r="H119" s="60"/>
      <c r="I119" s="44"/>
      <c r="J119" s="44"/>
      <c r="K119" s="60"/>
      <c r="L119" s="66"/>
      <c r="M119" s="60"/>
      <c r="N119" s="60"/>
      <c r="O119" s="60"/>
      <c r="P119" s="60"/>
    </row>
    <row r="120" spans="1:17">
      <c r="A120" s="51"/>
      <c r="B120" s="51"/>
      <c r="C120" s="43" t="s">
        <v>229</v>
      </c>
      <c r="D120" s="44" t="s">
        <v>230</v>
      </c>
      <c r="E120" s="60"/>
      <c r="F120" s="44"/>
      <c r="G120" s="44"/>
      <c r="H120" s="60"/>
      <c r="I120" s="44"/>
      <c r="J120" s="44"/>
      <c r="K120" s="60"/>
      <c r="L120" s="66"/>
      <c r="M120" s="60"/>
      <c r="N120" s="60"/>
      <c r="O120" s="60"/>
      <c r="P120" s="60"/>
    </row>
    <row r="121" spans="1:17">
      <c r="A121" s="69">
        <v>13</v>
      </c>
      <c r="B121" s="42" t="s">
        <v>231</v>
      </c>
      <c r="C121" s="43" t="s">
        <v>232</v>
      </c>
      <c r="D121" s="44" t="s">
        <v>233</v>
      </c>
      <c r="E121" s="60"/>
      <c r="F121" s="44">
        <v>201704</v>
      </c>
      <c r="G121" s="44" t="s">
        <v>234</v>
      </c>
      <c r="H121" s="60"/>
      <c r="I121" s="44">
        <v>22311004</v>
      </c>
      <c r="J121" s="44" t="s">
        <v>235</v>
      </c>
      <c r="K121" s="60"/>
      <c r="L121" s="66"/>
      <c r="M121" s="60"/>
      <c r="N121" s="60"/>
      <c r="O121" s="60"/>
      <c r="P121" s="60"/>
    </row>
    <row r="122" spans="1:17">
      <c r="A122" s="51"/>
      <c r="B122" s="51"/>
      <c r="C122" s="43" t="s">
        <v>236</v>
      </c>
      <c r="D122" s="44" t="s">
        <v>233</v>
      </c>
      <c r="E122" s="60"/>
      <c r="F122" s="44"/>
      <c r="G122" s="44"/>
      <c r="H122" s="60"/>
      <c r="I122" s="60"/>
      <c r="J122" s="60"/>
      <c r="K122" s="60"/>
      <c r="L122" s="66"/>
      <c r="M122" s="60"/>
      <c r="N122" s="60"/>
      <c r="O122" s="60"/>
      <c r="P122" s="60"/>
    </row>
    <row r="123" ht="18.35" spans="1:17">
      <c r="A123" s="51"/>
      <c r="B123" s="51"/>
      <c r="C123" s="43" t="s">
        <v>237</v>
      </c>
      <c r="D123" s="44" t="s">
        <v>238</v>
      </c>
      <c r="E123" s="60"/>
      <c r="F123" s="44"/>
      <c r="G123" s="44"/>
      <c r="H123" s="60"/>
      <c r="I123" s="60"/>
      <c r="J123" s="60"/>
      <c r="K123" s="60"/>
      <c r="L123" s="66"/>
      <c r="M123" s="60"/>
      <c r="N123" s="60"/>
      <c r="O123" s="60"/>
      <c r="P123" s="60"/>
    </row>
    <row r="124" s="18" customFormat="1" ht="45" customHeight="1" spans="1:17">
      <c r="A124" s="86">
        <v>14</v>
      </c>
      <c r="B124" s="87" t="s">
        <v>30</v>
      </c>
      <c r="C124" s="88"/>
      <c r="D124" s="86" t="s">
        <v>13</v>
      </c>
      <c r="E124" s="86"/>
      <c r="F124" s="89"/>
      <c r="G124" s="90" t="s">
        <v>30</v>
      </c>
      <c r="H124" s="91"/>
      <c r="I124" s="92"/>
      <c r="J124" s="93" t="s">
        <v>31</v>
      </c>
      <c r="K124" s="94"/>
      <c r="L124" s="92"/>
      <c r="M124" s="95"/>
      <c r="N124" s="96"/>
      <c r="O124" s="97"/>
      <c r="P124" s="97"/>
      <c r="Q124" s="98"/>
    </row>
    <row r="125" s="18" customFormat="1" ht="45" customHeight="1" spans="1:17">
      <c r="A125" s="86">
        <v>15</v>
      </c>
      <c r="B125" s="99" t="s">
        <v>32</v>
      </c>
      <c r="C125" s="100"/>
      <c r="D125" s="101" t="s">
        <v>13</v>
      </c>
      <c r="E125" s="101"/>
      <c r="F125" s="102"/>
      <c r="G125" s="103" t="s">
        <v>32</v>
      </c>
      <c r="H125" s="104"/>
      <c r="I125" s="105"/>
      <c r="J125" s="106" t="s">
        <v>33</v>
      </c>
      <c r="K125" s="107"/>
      <c r="L125" s="105"/>
      <c r="M125" s="108"/>
      <c r="N125" s="96"/>
      <c r="O125" s="97"/>
      <c r="P125" s="97"/>
      <c r="Q125" s="98"/>
    </row>
  </sheetData>
  <protectedRanges>
    <protectedRange sqref="M7:N8 H15" name="区域1"/>
  </protectedRanges>
  <mergeCells count="62">
    <mergeCell ref="A2:P2"/>
    <mergeCell ref="A3:C3"/>
    <mergeCell ref="C4:E4"/>
    <mergeCell ref="F4:L4"/>
    <mergeCell ref="M4:O4"/>
    <mergeCell ref="F5:H5"/>
    <mergeCell ref="I5:K5"/>
    <mergeCell ref="A4:A6"/>
    <mergeCell ref="A7:A13"/>
    <mergeCell ref="A14:A29"/>
    <mergeCell ref="A30:A53"/>
    <mergeCell ref="A54:A62"/>
    <mergeCell ref="A63:A71"/>
    <mergeCell ref="A72:A73"/>
    <mergeCell ref="A79:A97"/>
    <mergeCell ref="A98:A100"/>
    <mergeCell ref="A101:A110"/>
    <mergeCell ref="A111:A120"/>
    <mergeCell ref="A121:A123"/>
    <mergeCell ref="B4:B6"/>
    <mergeCell ref="B7:B13"/>
    <mergeCell ref="B14:B29"/>
    <mergeCell ref="B30:B53"/>
    <mergeCell ref="B54:B62"/>
    <mergeCell ref="B63:B71"/>
    <mergeCell ref="B72:B73"/>
    <mergeCell ref="B74:B75"/>
    <mergeCell ref="B76:B78"/>
    <mergeCell ref="B79:B97"/>
    <mergeCell ref="B98:B100"/>
    <mergeCell ref="B101:B110"/>
    <mergeCell ref="B111:B120"/>
    <mergeCell ref="B121:B123"/>
    <mergeCell ref="C5:C6"/>
    <mergeCell ref="C14:C19"/>
    <mergeCell ref="C30:C35"/>
    <mergeCell ref="C44:C46"/>
    <mergeCell ref="C74:C75"/>
    <mergeCell ref="C76:C78"/>
    <mergeCell ref="D5:D6"/>
    <mergeCell ref="D14:D19"/>
    <mergeCell ref="D30:D35"/>
    <mergeCell ref="D44:D46"/>
    <mergeCell ref="D74:D75"/>
    <mergeCell ref="D76:D78"/>
    <mergeCell ref="E14:E19"/>
    <mergeCell ref="E30:E35"/>
    <mergeCell ref="E44:E46"/>
    <mergeCell ref="E74:E75"/>
    <mergeCell ref="E76:E78"/>
    <mergeCell ref="I74:I75"/>
    <mergeCell ref="I76:I78"/>
    <mergeCell ref="J74:J75"/>
    <mergeCell ref="J76:J78"/>
    <mergeCell ref="K74:K75"/>
    <mergeCell ref="K76:K78"/>
    <mergeCell ref="L5:L6"/>
    <mergeCell ref="M5:M6"/>
    <mergeCell ref="N5:N6"/>
    <mergeCell ref="O5:O6"/>
    <mergeCell ref="P4:P6"/>
    <mergeCell ref="P14:P19"/>
  </mergeCells>
  <conditionalFormatting sqref="D41">
    <cfRule type="expression" dxfId="0" priority="2" stopIfTrue="1">
      <formula>LEFT(#REF!,4)="2010"</formula>
    </cfRule>
  </conditionalFormatting>
  <conditionalFormatting sqref="D60:D61">
    <cfRule type="expression" dxfId="0" priority="1" stopIfTrue="1">
      <formula>LEFT(#REF!,4)="2010"</formula>
    </cfRule>
  </conditionalFormatting>
  <pageMargins left="0.699305555555556" right="0.699305555555556" top="0.75" bottom="0.75" header="0.3" footer="0.3"/>
  <pageSetup paperSize="9" scale="90" orientation="landscape" horizontalDpi="600" verticalDpi="600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3" sqref="D3"/>
    </sheetView>
  </sheetViews>
  <sheetFormatPr defaultColWidth="9" defaultRowHeight="17.6" outlineLevelCol="6"/>
  <cols>
    <col min="1" max="2" width="31.75" customWidth="1"/>
    <col min="3" max="3" width="19.625" customWidth="1"/>
    <col min="4" max="6" width="20.625" customWidth="1"/>
    <col min="7" max="7" width="89.6964285714286" customWidth="1"/>
  </cols>
  <sheetData>
    <row r="1" s="1" customFormat="1" ht="35.25" customHeight="1" spans="1:7">
      <c r="A1" s="2"/>
      <c r="B1" s="3" t="s">
        <v>239</v>
      </c>
      <c r="C1" s="4" t="s">
        <v>240</v>
      </c>
      <c r="D1" s="3" t="s">
        <v>241</v>
      </c>
      <c r="E1" s="3"/>
      <c r="F1" s="3"/>
    </row>
    <row r="2" ht="34.5" customHeight="1" spans="1:7">
      <c r="A2" s="5" t="s">
        <v>242</v>
      </c>
      <c r="B2" s="6" t="s">
        <v>13</v>
      </c>
      <c r="C2" s="7"/>
      <c r="D2" s="6" t="s">
        <v>13</v>
      </c>
      <c r="E2" s="6" t="s">
        <v>14</v>
      </c>
      <c r="F2" s="6" t="s">
        <v>15</v>
      </c>
    </row>
    <row r="3" ht="30.75" customHeight="1" spans="1:7">
      <c r="A3" s="8" t="s">
        <v>20</v>
      </c>
      <c r="B3" s="9">
        <f>IF(保费基数核对表!E7=ROUND((保费基数核对表!M7-保费基数核对表!P9)/10000,0),0,1)</f>
        <v>0</v>
      </c>
      <c r="C3" s="10">
        <f>保费基数核对表!E7-ROUND((保费基数核对表!M7-保费基数核对表!P9)/10000,0)</f>
        <v>0</v>
      </c>
      <c r="D3" s="9">
        <f>IF(保费基数核对表!H7=保费基数核对表!M7,0,1)</f>
        <v>0</v>
      </c>
      <c r="E3" s="9">
        <f>IF(保费基数核对表!K7=保费基数核对表!N7,0,1)</f>
        <v>0</v>
      </c>
      <c r="F3" s="9">
        <f>IF(保费基数核对表!L7=保费基数核对表!O7,0,1)</f>
        <v>0</v>
      </c>
      <c r="G3" s="11"/>
    </row>
    <row r="4" ht="30.75" customHeight="1" spans="1:7">
      <c r="A4" s="8" t="s">
        <v>22</v>
      </c>
      <c r="B4" s="9">
        <f>IF(保费基数核对表!E8=ROUND((保费基数核对表!M8-保费基数核对表!P10)/10000,0),0,1)</f>
        <v>0</v>
      </c>
      <c r="C4" s="10">
        <f>保费基数核对表!E8-ROUND((保费基数核对表!M8-保费基数核对表!P10)/10000,0)</f>
        <v>0</v>
      </c>
      <c r="D4" s="9">
        <f>IF(保费基数核对表!H8=保费基数核对表!M8,0,1)</f>
        <v>0</v>
      </c>
      <c r="E4" s="9">
        <f>IF(保费基数核对表!K8=保费基数核对表!N8,0,1)</f>
        <v>0</v>
      </c>
      <c r="F4" s="9">
        <f>IF(保费基数核对表!L8=保费基数核对表!O8,0,1)</f>
        <v>0</v>
      </c>
      <c r="G4" s="11"/>
    </row>
    <row r="5" ht="30.75" customHeight="1" spans="1:7">
      <c r="A5" s="8" t="s">
        <v>25</v>
      </c>
      <c r="B5" s="9">
        <f>IF(保费基数核对表!E11=ROUND(保费基数核对表!M9/10000,0),0,1)</f>
        <v>0</v>
      </c>
      <c r="C5" s="10">
        <f>保费基数核对表!E11-ROUND(保费基数核对表!M9/10000,0)</f>
        <v>0</v>
      </c>
      <c r="D5" s="9">
        <f>IF(保费基数核对表!H9=保费基数核对表!M9,0,1)</f>
        <v>0</v>
      </c>
      <c r="E5" s="9">
        <f>IF(保费基数核对表!K9=保费基数核对表!N9,0,1)</f>
        <v>0</v>
      </c>
      <c r="F5" s="9">
        <f>IF(保费基数核对表!L9=保费基数核对表!O9,0,1)</f>
        <v>0</v>
      </c>
      <c r="G5" s="11"/>
    </row>
    <row r="6" ht="30.75" customHeight="1" spans="1:7">
      <c r="A6" s="8" t="s">
        <v>28</v>
      </c>
      <c r="B6" s="12">
        <f>保费基数核对表!E12-ROUND(保费基数核对表!M10/10000,0)</f>
        <v>0</v>
      </c>
      <c r="C6" s="4">
        <f>保费基数核对表!E12-ROUND(保费基数核对表!M10/10000,0)</f>
        <v>0</v>
      </c>
      <c r="D6" s="9">
        <f>IF(保费基数核对表!H10=保费基数核对表!M10,0,1)</f>
        <v>0</v>
      </c>
      <c r="E6" s="9">
        <f>IF(保费基数核对表!K10=保费基数核对表!N10,0,1)</f>
        <v>0</v>
      </c>
      <c r="F6" s="9">
        <f>IF(保费基数核对表!L10=保费基数核对表!O10,0,1)</f>
        <v>0</v>
      </c>
      <c r="G6" s="11"/>
    </row>
    <row r="7" ht="30.75" customHeight="1" spans="1:7">
      <c r="A7" s="8" t="s">
        <v>30</v>
      </c>
      <c r="B7" s="13" t="s">
        <v>243</v>
      </c>
      <c r="C7" s="14"/>
      <c r="D7" s="9">
        <f>IF(保费基数核对表!H11=保费基数核对表!M11,0,1)</f>
        <v>0</v>
      </c>
      <c r="E7" s="9">
        <f>IF(保费基数核对表!K11=保费基数核对表!N11,0,1)</f>
        <v>0</v>
      </c>
      <c r="F7" s="9">
        <f>IF(保费基数核对表!L11=保费基数核对表!O11,0,1)</f>
        <v>0</v>
      </c>
      <c r="G7" s="11"/>
    </row>
    <row r="8" ht="30.75" customHeight="1" spans="1:7">
      <c r="A8" s="8" t="s">
        <v>32</v>
      </c>
      <c r="B8" s="15" t="s">
        <v>243</v>
      </c>
      <c r="C8" s="16"/>
      <c r="D8" s="9">
        <f>IF(保费基数核对表!H12=保费基数核对表!M12,0,1)</f>
        <v>0</v>
      </c>
      <c r="E8" s="9">
        <f>IF(保费基数核对表!K12=保费基数核对表!N12,0,1)</f>
        <v>0</v>
      </c>
      <c r="F8" s="9">
        <f>IF(保费基数核对表!L12=保费基数核对表!O12,0,1)</f>
        <v>0</v>
      </c>
      <c r="G8" s="11"/>
    </row>
    <row r="9" ht="30.75" customHeight="1" spans="1:7">
      <c r="A9" s="17" t="s">
        <v>35</v>
      </c>
      <c r="B9" s="15" t="s">
        <v>243</v>
      </c>
      <c r="C9" s="16"/>
      <c r="D9" s="9">
        <f>IF(保费基数核对表!H13=保费基数核对表!M13,0,1)</f>
        <v>0</v>
      </c>
      <c r="E9" s="9">
        <f>IF(保费基数核对表!K13=保费基数核对表!N13,0,1)</f>
        <v>0</v>
      </c>
      <c r="F9" s="9">
        <f>IF(保费基数核对表!L13=保费基数核对表!O13,0,1)</f>
        <v>0</v>
      </c>
      <c r="G9" s="11"/>
    </row>
  </sheetData>
  <mergeCells count="5">
    <mergeCell ref="D1:F1"/>
    <mergeCell ref="B7:C7"/>
    <mergeCell ref="B8:C8"/>
    <mergeCell ref="B9:C9"/>
    <mergeCell ref="C1:C2"/>
  </mergeCells>
  <conditionalFormatting sqref="B3:C6 D3:F9">
    <cfRule type="cellIs" dxfId="1" priority="1" operator="notEqual">
      <formula>0</formula>
    </cfRule>
  </conditionalFormatting>
  <pageMargins left="0.699305555555556" right="0.699305555555556" top="0.75" bottom="0.75" header="0.3" footer="0.3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>
    <arrUserId title="区域1" rangeCreator="" othersAccessPermission="edit"/>
  </rangeList>
  <rangeList sheetStid="1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保费基数核对表</vt:lpstr>
      <vt:lpstr>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我丶丶丶</cp:lastModifiedBy>
  <cp:revision>1</cp:revision>
  <dcterms:created xsi:type="dcterms:W3CDTF">1996-12-20T09:32:00Z</dcterms:created>
  <cp:lastPrinted>2016-09-10T16:03:00Z</cp:lastPrinted>
  <dcterms:modified xsi:type="dcterms:W3CDTF">2026-10-19T11:34:14Z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1506C1F4E2B44CA3931B4E5820A42DF3_13</vt:lpwstr>
  </property>
  <property fmtid="{D5CDD505-2E9C-101B-9397-08002B2CF9AE}" pid="4" name="CalculationRule">
    <vt:i4>0</vt:i4>
  </property>
</Properties>
</file>